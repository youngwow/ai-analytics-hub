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792d8f5122479e" /></Relationships>
</file>

<file path=xl/workbook.xml><?xml version="1.0" encoding="utf-8"?>
<x:workbook xmlns:x="http://schemas.openxmlformats.org/spreadsheetml/2006/main">
  <x:sheets>
    <x:sheet xmlns:r="http://schemas.openxmlformats.org/officeDocument/2006/relationships" name="Инструкция" sheetId="1" r:id="Rfb78f8ea12614716"/>
    <x:sheet xmlns:r="http://schemas.openxmlformats.org/officeDocument/2006/relationships" name="Наблюдения" sheetId="2" r:id="Rfd4e8f703b814043"/>
    <x:sheet xmlns:r="http://schemas.openxmlformats.org/officeDocument/2006/relationships" name="Вход A" sheetId="3" r:id="R86cb79259bb242f8"/>
    <x:sheet xmlns:r="http://schemas.openxmlformats.org/officeDocument/2006/relationships" name="Разбор A" sheetId="4" r:id="Rcb5d99437ffa433f"/>
    <x:sheet xmlns:r="http://schemas.openxmlformats.org/officeDocument/2006/relationships" name="Вход B" sheetId="5" r:id="R4dbb59c69cd44f79"/>
    <x:sheet xmlns:r="http://schemas.openxmlformats.org/officeDocument/2006/relationships" name="Разбор B" sheetId="6" r:id="Rf13f5f5f416844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8">
    <x:font>
      <x:sz val="11"/>
      <x:name val="Carlito"/>
    </x:font>
    <x:font>
      <x:sz val="10"/>
      <x:color rgb="FF1F2937"/>
      <x:name val="Arial"/>
    </x:font>
    <x:font>
      <x:b/>
      <x:sz val="16"/>
      <x:color rgb="FF1F2937"/>
      <x:name val="Arial"/>
    </x:font>
    <x:font>
      <x:b/>
      <x:sz val="10"/>
      <x:color rgb="FF1F2937"/>
      <x:name val="Arial"/>
    </x:font>
    <x:font>
      <x:b/>
      <x:sz val="10"/>
      <x:color rgb="FFFFFFFF"/>
      <x:name val="Arial"/>
    </x:font>
    <x:font>
      <x:i/>
      <x:sz val="9"/>
      <x:color rgb="FF4B5563"/>
      <x:name val="Arial"/>
    </x:font>
    <x:font>
      <x:b/>
      <x:sz val="15"/>
      <x:color rgb="FF1F2937"/>
      <x:name val="Arial"/>
    </x:font>
    <x:font>
      <x:b/>
      <x:sz val="13"/>
      <x:color rgb="FF1F2937"/>
      <x:name val="Arial"/>
    </x:font>
  </x:fonts>
  <x:fills count="8">
    <x:fill>
      <x:patternFill patternType="none"/>
    </x:fill>
    <x:fill>
      <x:patternFill patternType="gray125"/>
    </x:fill>
    <x:fill>
      <x:patternFill patternType="solid">
        <x:fgColor rgb="FFFEF3C7"/>
      </x:patternFill>
    </x:fill>
    <x:fill>
      <x:patternFill patternType="solid">
        <x:fgColor rgb="FF1F2937"/>
      </x:patternFill>
    </x:fill>
    <x:fill>
      <x:patternFill patternType="solid">
        <x:fgColor rgb="FFEFF6FF"/>
      </x:patternFill>
    </x:fill>
    <x:fill>
      <x:patternFill patternType="solid">
        <x:fgColor rgb="FF2563EB"/>
      </x:patternFill>
    </x:fill>
    <x:fill>
      <x:patternFill patternType="solid">
        <x:fgColor rgb="FFF0FDF4"/>
      </x:patternFill>
    </x:fill>
    <x:fill>
      <x:patternFill patternType="solid">
        <x:fgColor rgb="FF15803D"/>
      </x:patternFill>
    </x:fill>
  </x:fills>
  <x:borders count="7">
    <x:border/>
    <x:border>
      <x:left style="thin">
        <x:color rgb="FFD1D5DB"/>
      </x:left>
      <x:top style="thin">
        <x:color rgb="FFD1D5DB"/>
      </x:top>
      <x:bottom style="thin">
        <x:color rgb="FFD1D5DB"/>
      </x:bottom>
    </x:border>
    <x:border>
      <x:right style="thin">
        <x:color rgb="FFD1D5DB"/>
      </x:right>
      <x:top style="thin">
        <x:color rgb="FFD1D5DB"/>
      </x:top>
      <x:bottom style="thin">
        <x:color rgb="FFD1D5DB"/>
      </x:bottom>
    </x:border>
    <x:border>
      <x:top style="thin">
        <x:color rgb="FFD1D5DB"/>
      </x:top>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9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1"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1" xfId="0" applyNumberFormat="1" applyFont="1" applyFill="1" applyBorder="1" applyAlignment="1">
      <x:alignment vertical="center" wrapText="1"/>
    </x:xf>
    <x:xf numFmtId="0" fontId="4" fillId="3" borderId="2"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0" borderId="0" xfId="0" applyNumberFormat="1" applyFont="1" applyFill="1" applyBorder="1"/>
    <x:xf numFmtId="0" fontId="0" fillId="3" borderId="0" xfId="0" applyNumberFormat="1" applyFont="1" applyFill="1" applyBorder="1"/>
    <x:xf numFmtId="0" fontId="4" fillId="3" borderId="3" xfId="0" applyNumberFormat="1" applyFont="1" applyFill="1" applyBorder="1"/>
    <x:xf numFmtId="0" fontId="4" fillId="3" borderId="3" xfId="0" applyNumberFormat="1" applyFont="1" applyFill="1" applyBorder="1" applyAlignment="1">
      <x:alignment wrapText="1"/>
    </x:xf>
    <x:xf numFmtId="0" fontId="4" fillId="3" borderId="3" xfId="0" applyNumberFormat="1" applyFont="1" applyFill="1" applyBorder="1" applyAlignment="1">
      <x:alignment vertical="center" wrapText="1"/>
    </x:xf>
    <x:xf numFmtId="0" fontId="0" fillId="2" borderId="0" xfId="0" applyNumberFormat="1" applyFont="1" applyFill="1" applyBorder="1"/>
    <x:xf numFmtId="0" fontId="1" fillId="0" borderId="4" xfId="0" applyNumberFormat="1" applyFont="1" applyFill="1" applyBorder="1"/>
    <x:xf numFmtId="0" fontId="1" fillId="2" borderId="4" xfId="0" applyNumberFormat="1" applyFont="1" applyFill="1" applyBorder="1"/>
    <x:xf numFmtId="0" fontId="0" fillId="2" borderId="4" xfId="0" applyNumberFormat="1" applyFont="1" applyFill="1" applyBorder="1"/>
    <x:xf numFmtId="0" fontId="1" fillId="0" borderId="5" xfId="0" applyNumberFormat="1" applyFont="1" applyFill="1" applyBorder="1"/>
    <x:xf numFmtId="0" fontId="1" fillId="2" borderId="5" xfId="0" applyNumberFormat="1" applyFont="1" applyFill="1" applyBorder="1"/>
    <x:xf numFmtId="0" fontId="0" fillId="2" borderId="5" xfId="0" applyNumberFormat="1" applyFont="1" applyFill="1" applyBorder="1"/>
    <x:xf numFmtId="0" fontId="1" fillId="0" borderId="6" xfId="0" applyNumberFormat="1" applyFont="1" applyFill="1" applyBorder="1"/>
    <x:xf numFmtId="0" fontId="1" fillId="2" borderId="6" xfId="0" applyNumberFormat="1" applyFont="1" applyFill="1" applyBorder="1"/>
    <x:xf numFmtId="0" fontId="0" fillId="2" borderId="6" xfId="0" applyNumberFormat="1" applyFont="1" applyFill="1" applyBorder="1"/>
    <x:xf numFmtId="0" fontId="1" fillId="0" borderId="4" xfId="0" applyNumberFormat="1" applyFont="1" applyFill="1" applyBorder="1" applyAlignment="1">
      <x:alignment wrapText="1"/>
    </x:xf>
    <x:xf numFmtId="0" fontId="1" fillId="2" borderId="4" xfId="0" applyNumberFormat="1" applyFont="1" applyFill="1" applyBorder="1" applyAlignment="1">
      <x:alignment wrapText="1"/>
    </x:xf>
    <x:xf numFmtId="0" fontId="0" fillId="2"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2" borderId="5" xfId="0" applyNumberFormat="1" applyFont="1" applyFill="1" applyBorder="1" applyAlignment="1">
      <x:alignment wrapText="1"/>
    </x:xf>
    <x:xf numFmtId="0" fontId="0" fillId="2"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2" borderId="6" xfId="0" applyNumberFormat="1" applyFont="1" applyFill="1" applyBorder="1" applyAlignment="1">
      <x:alignment wrapText="1"/>
    </x:xf>
    <x:xf numFmtId="0" fontId="0" fillId="2" borderId="6" xfId="0" applyNumberFormat="1" applyFont="1" applyFill="1" applyBorder="1" applyAlignment="1">
      <x:alignment wrapText="1"/>
    </x:xf>
    <x:xf numFmtId="0" fontId="1" fillId="0"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2"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2" borderId="5" xfId="0" applyNumberFormat="1" applyFont="1" applyFill="1" applyBorder="1" applyAlignment="1">
      <x:alignment vertical="top" wrapText="1"/>
    </x:xf>
    <x:xf numFmtId="0" fontId="0" fillId="2"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2" borderId="6" xfId="0" applyNumberFormat="1" applyFont="1" applyFill="1" applyBorder="1" applyAlignment="1">
      <x:alignment vertical="top" wrapText="1"/>
    </x:xf>
    <x:xf numFmtId="0" fontId="0" fillId="2" borderId="6" xfId="0" applyNumberFormat="1" applyFont="1" applyFill="1" applyBorder="1" applyAlignment="1">
      <x:alignment vertical="top"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1"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3"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200" fontId="1" fillId="0" borderId="0" xfId="0" applyNumberFormat="1" applyFont="1" applyFill="1" applyBorder="1"/>
    <x:xf numFmtId="200" fontId="1" fillId="0" borderId="4" xfId="0" applyNumberFormat="1" applyFont="1" applyFill="1" applyBorder="1"/>
    <x:xf numFmtId="200" fontId="1" fillId="0" borderId="5" xfId="0" applyNumberFormat="1" applyFont="1" applyFill="1" applyBorder="1"/>
    <x:xf numFmtId="200" fontId="1" fillId="0" borderId="6" xfId="0" applyNumberFormat="1" applyFont="1" applyFill="1" applyBorder="1"/>
    <x:xf numFmtId="200" fontId="1" fillId="0" borderId="4" xfId="0" applyNumberFormat="1" applyFont="1" applyFill="1" applyBorder="1" applyAlignment="1">
      <x:alignment wrapText="1"/>
    </x:xf>
    <x:xf numFmtId="200" fontId="1" fillId="0" borderId="5" xfId="0" applyNumberFormat="1" applyFont="1" applyFill="1" applyBorder="1" applyAlignment="1">
      <x:alignment wrapText="1"/>
    </x:xf>
    <x:xf numFmtId="200" fontId="1" fillId="0" borderId="6" xfId="0" applyNumberFormat="1" applyFont="1" applyFill="1" applyBorder="1" applyAlignment="1">
      <x:alignment wrapText="1"/>
    </x:xf>
    <x:xf numFmtId="200" fontId="1" fillId="0" borderId="4" xfId="0" applyNumberFormat="1" applyFont="1" applyFill="1" applyBorder="1" applyAlignment="1">
      <x:alignment vertical="top" wrapText="1"/>
    </x:xf>
    <x:xf numFmtId="200" fontId="1" fillId="0" borderId="5" xfId="0" applyNumberFormat="1" applyFont="1" applyFill="1" applyBorder="1" applyAlignment="1">
      <x:alignment vertical="top" wrapText="1"/>
    </x:xf>
    <x:xf numFmtId="200" fontId="1" fillId="0" borderId="6" xfId="0" applyNumberFormat="1" applyFont="1" applyFill="1" applyBorder="1" applyAlignment="1">
      <x:alignment vertical="top" wrapText="1"/>
    </x:xf>
    <x:xf numFmtId="0" fontId="7"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1"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3" xfId="0" applyNumberFormat="1" applyFont="1" applyFill="1" applyBorder="1"/>
    <x:xf numFmtId="0" fontId="4" fillId="7" borderId="2" xfId="0" applyNumberFormat="1" applyFont="1" applyFill="1" applyBorder="1"/>
    <x:xf numFmtId="0" fontId="4" fillId="7" borderId="1" xfId="0" applyNumberFormat="1" applyFont="1" applyFill="1" applyBorder="1" applyAlignment="1">
      <x:alignment wrapText="1"/>
    </x:xf>
    <x:xf numFmtId="0" fontId="4" fillId="7" borderId="3" xfId="0" applyNumberFormat="1" applyFont="1" applyFill="1" applyBorder="1" applyAlignment="1">
      <x:alignment wrapText="1"/>
    </x:xf>
    <x:xf numFmtId="0" fontId="4" fillId="7" borderId="2" xfId="0" applyNumberFormat="1" applyFont="1" applyFill="1" applyBorder="1" applyAlignment="1">
      <x:alignment wrapText="1"/>
    </x:xf>
    <x:xf numFmtId="0" fontId="4" fillId="7" borderId="1" xfId="0" applyNumberFormat="1" applyFont="1" applyFill="1" applyBorder="1" applyAlignment="1">
      <x:alignment vertical="center" wrapText="1"/>
    </x:xf>
    <x:xf numFmtId="0" fontId="4" fillId="7" borderId="3" xfId="0" applyNumberFormat="1" applyFont="1" applyFill="1" applyBorder="1" applyAlignment="1">
      <x:alignment vertical="center" wrapText="1"/>
    </x:xf>
    <x:xf numFmtId="0" fontId="4" fillId="7"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0fc52661b824b70" /><Relationship Type="http://schemas.openxmlformats.org/officeDocument/2006/relationships/theme" Target="/xl/theme/theme1.xml" Id="R603ffb3a8cb24b3d" /><Relationship Type="http://schemas.openxmlformats.org/officeDocument/2006/relationships/sharedStrings" Target="/xl/sharedStrings.xml" Id="R6ea0eed3882342c0" /><Relationship Type="http://schemas.openxmlformats.org/officeDocument/2006/relationships/worksheet" Target="/xl/worksheets/sheet1.xml" Id="Rfb78f8ea12614716" /><Relationship Type="http://schemas.openxmlformats.org/officeDocument/2006/relationships/worksheet" Target="/xl/worksheets/sheet2.xml" Id="Rfd4e8f703b814043" /><Relationship Type="http://schemas.openxmlformats.org/officeDocument/2006/relationships/worksheet" Target="/xl/worksheets/sheet3.xml" Id="R86cb79259bb242f8" /><Relationship Type="http://schemas.openxmlformats.org/officeDocument/2006/relationships/worksheet" Target="/xl/worksheets/sheet4.xml" Id="Rcb5d99437ffa433f" /><Relationship Type="http://schemas.openxmlformats.org/officeDocument/2006/relationships/worksheet" Target="/xl/worksheets/sheet5.xml" Id="R4dbb59c69cd44f79" /><Relationship Type="http://schemas.openxmlformats.org/officeDocument/2006/relationships/worksheet" Target="/xl/worksheets/sheet6.xml" Id="Rf13f5f5f416844f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65" hidden="0" customWidth="1"/>
    <x:col min="3" max="3" width="4" hidden="0" customWidth="1"/>
    <x:col min="4" max="4" width="4" hidden="0" customWidth="1"/>
    <x:col min="5" max="5" width="4" hidden="0" customWidth="1"/>
    <x:col min="6" max="6" width="4" hidden="0" customWidth="1"/>
  </x:cols>
  <x:sheetData>
    <x:row r="1" ht="28" customHeight="1">
      <x:c r="A1" s="16" t="str">
        <x:v>Ручной разбор потока: Excel baseline</x:v>
      </x:c>
      <x:c r="B1" s="17"/>
      <x:c r="C1" s="17"/>
      <x:c r="D1" s="17"/>
      <x:c r="E1" s="17"/>
      <x:c r="F1" s="17"/>
      <x:c r="G1" s="1"/>
      <x:c r="H1" s="1"/>
      <x:c r="I1" s="1"/>
      <x:c r="J1" s="1"/>
      <x:c r="K1" s="1"/>
      <x:c r="L1" s="1"/>
      <x:c r="M1" s="1"/>
      <x:c r="N1" s="1"/>
    </x:row>
    <x:row r="2">
      <x:c r="A2" s="17"/>
      <x:c r="B2" s="17"/>
      <x:c r="C2" s="17"/>
      <x:c r="D2" s="17"/>
      <x:c r="E2" s="17"/>
      <x:c r="F2" s="17"/>
      <x:c r="G2" s="1"/>
      <x:c r="H2" s="1"/>
      <x:c r="I2" s="1"/>
      <x:c r="J2" s="1"/>
      <x:c r="K2" s="1"/>
      <x:c r="L2" s="1"/>
      <x:c r="M2" s="1"/>
      <x:c r="N2" s="1"/>
    </x:row>
    <x:row r="3" ht="38" customHeight="1">
      <x:c r="A3" s="18" t="str">
        <x:v>Работайте только с назначенным потоком A или B. Эталонные ответы в книге отсутствуют.</x:v>
      </x:c>
      <x:c r="B3" s="17"/>
      <x:c r="C3" s="17"/>
      <x:c r="D3" s="17"/>
      <x:c r="E3" s="17"/>
      <x:c r="F3" s="17"/>
      <x:c r="G3" s="1"/>
      <x:c r="H3" s="1"/>
      <x:c r="I3" s="1"/>
      <x:c r="J3" s="1"/>
      <x:c r="K3" s="1"/>
      <x:c r="L3" s="1"/>
      <x:c r="M3" s="1"/>
      <x:c r="N3" s="1"/>
    </x:row>
    <x:row r="4">
      <x:c r="A4" s="17"/>
      <x:c r="B4" s="17"/>
      <x:c r="C4" s="17"/>
      <x:c r="D4" s="17"/>
      <x:c r="E4" s="17"/>
      <x:c r="F4" s="17"/>
      <x:c r="G4" s="1"/>
      <x:c r="H4" s="1"/>
      <x:c r="I4" s="1"/>
      <x:c r="J4" s="1"/>
      <x:c r="K4" s="1"/>
      <x:c r="L4" s="1"/>
      <x:c r="M4" s="1"/>
      <x:c r="N4" s="1"/>
    </x:row>
    <x:row r="5">
      <x:c r="A5" s="19" t="str">
        <x:v>Шаг</x:v>
      </x:c>
      <x:c r="B5" s="20" t="str">
        <x:v>Действие</x:v>
      </x:c>
      <x:c r="C5" s="17"/>
      <x:c r="D5" s="17"/>
      <x:c r="E5" s="17"/>
      <x:c r="F5" s="17"/>
      <x:c r="G5" s="1"/>
      <x:c r="H5" s="1"/>
      <x:c r="I5" s="1"/>
      <x:c r="J5" s="1"/>
      <x:c r="K5" s="1"/>
      <x:c r="L5" s="1"/>
      <x:c r="M5" s="1"/>
      <x:c r="N5" s="1"/>
    </x:row>
    <x:row r="6">
      <x:c r="A6" s="17" t="n">
        <x:v>1</x:v>
      </x:c>
      <x:c r="B6" s="17" t="str">
        <x:v>Откройте «Вход A» или «Вход B» и запустите таймер.</x:v>
      </x:c>
      <x:c r="C6" s="17"/>
      <x:c r="D6" s="17"/>
      <x:c r="E6" s="17"/>
      <x:c r="F6" s="17"/>
      <x:c r="G6" s="1"/>
      <x:c r="H6" s="1"/>
      <x:c r="I6" s="1"/>
      <x:c r="J6" s="1"/>
      <x:c r="K6" s="1"/>
      <x:c r="L6" s="1"/>
      <x:c r="M6" s="1"/>
      <x:c r="N6" s="1"/>
    </x:row>
    <x:row r="7">
      <x:c r="A7" s="17" t="n">
        <x:v>2</x:v>
      </x:c>
      <x:c r="B7" s="17" t="str">
        <x:v>Просмотрите материалы и стартовое состояние потока.</x:v>
      </x:c>
      <x:c r="C7" s="17"/>
      <x:c r="D7" s="17"/>
      <x:c r="E7" s="17"/>
      <x:c r="F7" s="17"/>
      <x:c r="G7" s="1"/>
      <x:c r="H7" s="1"/>
      <x:c r="I7" s="1"/>
      <x:c r="J7" s="1"/>
      <x:c r="K7" s="1"/>
      <x:c r="L7" s="1"/>
      <x:c r="M7" s="1"/>
      <x:c r="N7" s="1"/>
    </x:row>
    <x:row r="8">
      <x:c r="A8" s="17" t="n">
        <x:v>3</x:v>
      </x:c>
      <x:c r="B8" s="17" t="str">
        <x:v>Заполните соответствующий лист «Разбор».</x:v>
      </x:c>
      <x:c r="C8" s="17"/>
      <x:c r="D8" s="17"/>
      <x:c r="E8" s="17"/>
      <x:c r="F8" s="17"/>
      <x:c r="G8" s="1"/>
      <x:c r="H8" s="1"/>
      <x:c r="I8" s="1"/>
      <x:c r="J8" s="1"/>
      <x:c r="K8" s="1"/>
      <x:c r="L8" s="1"/>
      <x:c r="M8" s="1"/>
      <x:c r="N8" s="1"/>
    </x:row>
    <x:row r="9">
      <x:c r="A9" s="17" t="n">
        <x:v>4</x:v>
      </x:c>
      <x:c r="B9" s="17" t="str">
        <x:v>Объединяйте публикации одной истории одним ID события.</x:v>
      </x:c>
      <x:c r="C9" s="17"/>
      <x:c r="D9" s="17"/>
      <x:c r="E9" s="17"/>
      <x:c r="F9" s="17"/>
      <x:c r="G9" s="1"/>
      <x:c r="H9" s="1"/>
      <x:c r="I9" s="1"/>
      <x:c r="J9" s="1"/>
      <x:c r="K9" s="1"/>
      <x:c r="L9" s="1"/>
      <x:c r="M9" s="1"/>
      <x:c r="N9" s="1"/>
    </x:row>
    <x:row r="10">
      <x:c r="A10" s="17" t="n">
        <x:v>5</x:v>
      </x:c>
      <x:c r="B10" s="17" t="str">
        <x:v>Для НПА укажите идентификатор или понятное рабочее имя.</x:v>
      </x:c>
      <x:c r="C10" s="17"/>
      <x:c r="D10" s="17"/>
      <x:c r="E10" s="17"/>
      <x:c r="F10" s="17"/>
      <x:c r="G10" s="1"/>
      <x:c r="H10" s="1"/>
      <x:c r="I10" s="1"/>
      <x:c r="J10" s="1"/>
      <x:c r="K10" s="1"/>
      <x:c r="L10" s="1"/>
      <x:c r="M10" s="1"/>
      <x:c r="N10" s="1"/>
    </x:row>
    <x:row r="11">
      <x:c r="A11" s="17" t="n">
        <x:v>6</x:v>
      </x:c>
      <x:c r="B11" s="17" t="str">
        <x:v>Выберите материалы итоговой повестки и напишите короткий вывод.</x:v>
      </x:c>
      <x:c r="C11" s="17"/>
      <x:c r="D11" s="17"/>
      <x:c r="E11" s="17"/>
      <x:c r="F11" s="17"/>
      <x:c r="G11" s="1"/>
      <x:c r="H11" s="1"/>
      <x:c r="I11" s="1"/>
      <x:c r="J11" s="1"/>
      <x:c r="K11" s="1"/>
      <x:c r="L11" s="1"/>
      <x:c r="M11" s="1"/>
      <x:c r="N11" s="1"/>
    </x:row>
    <x:row r="12">
      <x:c r="A12" s="17"/>
      <x:c r="B12" s="17"/>
      <x:c r="C12" s="17"/>
      <x:c r="D12" s="17"/>
      <x:c r="E12" s="17"/>
      <x:c r="F12" s="17"/>
      <x:c r="G12" s="1"/>
      <x:c r="H12" s="1"/>
      <x:c r="I12" s="1"/>
      <x:c r="J12" s="1"/>
      <x:c r="K12" s="1"/>
      <x:c r="L12" s="1"/>
      <x:c r="M12" s="1"/>
      <x:c r="N12" s="1"/>
    </x:row>
    <x:row r="13">
      <x:c r="A13" s="19" t="str">
        <x:v>Фиксирует наблюдатель</x:v>
      </x:c>
      <x:c r="B13" s="20" t="str">
        <x:v>Как считать</x:v>
      </x:c>
      <x:c r="C13" s="17"/>
      <x:c r="D13" s="17"/>
      <x:c r="E13" s="17"/>
      <x:c r="F13" s="17"/>
      <x:c r="G13" s="1"/>
      <x:c r="H13" s="1"/>
      <x:c r="I13" s="1"/>
      <x:c r="J13" s="1"/>
      <x:c r="K13" s="1"/>
      <x:c r="L13" s="1"/>
      <x:c r="M13" s="1"/>
      <x:c r="N13" s="1"/>
    </x:row>
    <x:row r="14">
      <x:c r="A14" s="17" t="str">
        <x:v>Активное время</x:v>
      </x:c>
      <x:c r="B14" s="17" t="str">
        <x:v>Работа человека без ожидания системы</x:v>
      </x:c>
      <x:c r="C14" s="17"/>
      <x:c r="D14" s="17"/>
      <x:c r="E14" s="17"/>
      <x:c r="F14" s="17"/>
      <x:c r="G14" s="1"/>
      <x:c r="H14" s="1"/>
      <x:c r="I14" s="1"/>
      <x:c r="J14" s="1"/>
      <x:c r="K14" s="1"/>
      <x:c r="L14" s="1"/>
      <x:c r="M14" s="1"/>
      <x:c r="N14" s="1"/>
    </x:row>
    <x:row r="15">
      <x:c r="A15" s="17" t="str">
        <x:v>Исправления</x:v>
      </x:c>
      <x:c r="B15" s="17" t="str">
        <x:v>Изменения решения после проверки источника</x:v>
      </x:c>
      <x:c r="C15" s="17"/>
      <x:c r="D15" s="17"/>
      <x:c r="E15" s="17"/>
      <x:c r="F15" s="17"/>
      <x:c r="G15" s="1"/>
      <x:c r="H15" s="1"/>
      <x:c r="I15" s="1"/>
      <x:c r="J15" s="1"/>
      <x:c r="K15" s="1"/>
      <x:c r="L15" s="1"/>
      <x:c r="M15" s="1"/>
      <x:c r="N15" s="1"/>
    </x:row>
    <x:row r="16">
      <x:c r="A16" s="17" t="str">
        <x:v>Открытия оригинала</x:v>
      </x:c>
      <x:c r="B16" s="17" t="str">
        <x:v>Каждое обращение к исходному материалу</x:v>
      </x:c>
      <x:c r="C16" s="17"/>
      <x:c r="D16" s="17"/>
      <x:c r="E16" s="17"/>
      <x:c r="F16" s="17"/>
      <x:c r="G16" s="1"/>
      <x:c r="H16" s="1"/>
      <x:c r="I16" s="1"/>
      <x:c r="J16" s="1"/>
      <x:c r="K16" s="1"/>
      <x:c r="L16" s="1"/>
      <x:c r="M16" s="1"/>
      <x:c r="N16" s="1"/>
    </x:row>
    <x:row r="17">
      <x:c r="A17" s="17" t="str">
        <x:v>Ошибки безопасности</x:v>
      </x:c>
      <x:c r="B17" s="17" t="str">
        <x:v>Пропущенное критичное, потерянный факт, неподтверждённое утверждение</x:v>
      </x:c>
      <x:c r="C17" s="17"/>
      <x:c r="D17" s="17"/>
      <x:c r="E17" s="17"/>
      <x:c r="F17" s="17"/>
      <x:c r="G17" s="1"/>
      <x:c r="H17" s="1"/>
      <x:c r="I17" s="1"/>
      <x:c r="J17" s="1"/>
      <x:c r="K17" s="1"/>
      <x:c r="L17" s="1"/>
      <x:c r="M17" s="1"/>
      <x:c r="N17" s="1"/>
    </x:row>
    <x:row r="18">
      <x:c r="A18" s="17" t="str">
        <x:v>Завершение</x:v>
      </x:c>
      <x:c r="B18" s="17" t="str">
        <x:v>Готова короткая повестка с адресатами и основаниями</x:v>
      </x:c>
      <x:c r="C18" s="17"/>
      <x:c r="D18" s="17"/>
      <x:c r="E18" s="17"/>
      <x:c r="F18" s="17"/>
      <x:c r="G18" s="1"/>
      <x:c r="H18" s="1"/>
      <x:c r="I18" s="1"/>
      <x:c r="J18" s="1"/>
      <x:c r="K18" s="1"/>
      <x:c r="L18" s="1"/>
      <x:c r="M18" s="1"/>
      <x:c r="N18" s="1"/>
    </x:row>
    <x:row r="19">
      <x:c r="A19" s="17"/>
      <x:c r="B19" s="17"/>
      <x:c r="C19" s="17"/>
      <x:c r="D19" s="17"/>
      <x:c r="E19" s="17"/>
      <x:c r="F19" s="17"/>
      <x:c r="G19" s="1"/>
      <x:c r="H19" s="1"/>
      <x:c r="I19" s="1"/>
      <x:c r="J19" s="1"/>
      <x:c r="K19" s="1"/>
      <x:c r="L19" s="1"/>
      <x:c r="M19" s="1"/>
      <x:c r="N19" s="1"/>
    </x:row>
    <x:row r="20" ht="40" customHeight="1">
      <x:c r="A20" s="21" t="str">
        <x:v>Источник набора: замороженная среда B3 E2E v2.0.0. Книга не измеряет реальный обход сайтов; этот слой отдельно проверен B1.</x:v>
      </x:c>
      <x:c r="B20" s="17"/>
      <x:c r="C20" s="17"/>
      <x:c r="D20" s="17"/>
      <x:c r="E20" s="17"/>
      <x:c r="F20" s="17"/>
      <x:c r="G20" s="1"/>
      <x:c r="H20" s="1"/>
      <x:c r="I20" s="1"/>
      <x:c r="J20" s="1"/>
      <x:c r="K20" s="1"/>
      <x:c r="L20" s="1"/>
      <x:c r="M20" s="1"/>
      <x:c r="N20" s="1"/>
    </x:row>
    <x:row r="21">
      <x:c r="A21" s="17"/>
      <x:c r="B21" s="17"/>
      <x:c r="C21" s="17"/>
      <x:c r="D21" s="17"/>
      <x:c r="E21" s="17"/>
      <x:c r="F21" s="17"/>
      <x:c r="G21" s="1"/>
      <x:c r="H21" s="1"/>
      <x:c r="I21" s="1"/>
      <x:c r="J21" s="1"/>
      <x:c r="K21" s="1"/>
      <x:c r="L21" s="1"/>
      <x:c r="M21" s="1"/>
      <x:c r="N21" s="1"/>
    </x:row>
    <x:row r="22">
      <x:c r="A22" s="17"/>
      <x:c r="B22" s="17"/>
      <x:c r="C22" s="17"/>
      <x:c r="D22" s="17"/>
      <x:c r="E22" s="17"/>
      <x:c r="F22" s="17"/>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F1"/>
    <x:mergeCell ref="A3:F3"/>
    <x:mergeCell ref="A20:F20"/>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2" hidden="0" customWidth="1"/>
  </x:cols>
  <x:sheetData>
    <x:row r="1" ht="28" customHeight="1">
      <x:c r="A1" s="22" t="str">
        <x:v>Наблюдения пилота</x:v>
      </x:c>
      <x:c r="B1" s="1"/>
      <x:c r="C1" s="1"/>
      <x:c r="D1" s="1"/>
      <x:c r="E1" s="1"/>
      <x:c r="F1" s="1"/>
      <x:c r="G1" s="1"/>
      <x:c r="H1" s="1"/>
      <x:c r="I1" s="1"/>
      <x:c r="J1" s="1"/>
      <x:c r="K1" s="1"/>
      <x:c r="L1" s="1"/>
      <x:c r="M1" s="1"/>
      <x:c r="N1" s="1"/>
    </x:row>
    <x:row r="2">
      <x:c r="A2" s="5" t="str">
        <x:v>Наблюдатель заполняет числа и TRUE/FALSE после каждого этапа. Это post-collection сравнение: обход сайтов здесь не измеряется.</x:v>
      </x:c>
      <x:c r="B2" s="1"/>
      <x:c r="C2" s="1"/>
      <x:c r="D2" s="1"/>
      <x:c r="E2" s="1"/>
      <x:c r="F2" s="1"/>
      <x:c r="G2" s="1"/>
      <x:c r="H2" s="1"/>
      <x:c r="I2" s="1"/>
      <x:c r="J2" s="1"/>
      <x:c r="K2" s="1"/>
      <x:c r="L2" s="1"/>
      <x:c r="M2" s="1"/>
      <x:c r="N2" s="1"/>
    </x:row>
    <x:row r="3">
      <x:c r="A3" s="1"/>
      <x:c r="B3" s="1"/>
      <x:c r="C3" s="1"/>
      <x:c r="D3" s="1"/>
      <x:c r="E3" s="1"/>
      <x:c r="F3" s="1"/>
      <x:c r="G3" s="1"/>
      <x:c r="H3" s="1"/>
      <x:c r="I3" s="1"/>
      <x:c r="J3" s="1"/>
      <x:c r="K3" s="1"/>
      <x:c r="L3" s="1"/>
      <x:c r="M3" s="1"/>
      <x:c r="N3" s="1"/>
    </x:row>
    <x:row r="4">
      <x:c r="A4" s="12" t="str">
        <x:v>run_id</x:v>
      </x:c>
      <x:c r="B4" s="26" t="str">
        <x:v>participant_id</x:v>
      </x:c>
      <x:c r="C4" s="26" t="str">
        <x:v>scenario_id</x:v>
      </x:c>
      <x:c r="D4" s="26" t="str">
        <x:v>workflow</x:v>
      </x:c>
      <x:c r="E4" s="26" t="str">
        <x:v>task</x:v>
      </x:c>
      <x:c r="F4" s="26" t="str">
        <x:v>active_seconds</x:v>
      </x:c>
      <x:c r="G4" s="26" t="str">
        <x:v>waiting_seconds</x:v>
      </x:c>
      <x:c r="H4" s="26" t="str">
        <x:v>corrections</x:v>
      </x:c>
      <x:c r="I4" s="26" t="str">
        <x:v>original_opens</x:v>
      </x:c>
      <x:c r="J4" s="26" t="str">
        <x:v>completed</x:v>
      </x:c>
      <x:c r="K4" s="26" t="str">
        <x:v>critical_missed</x:v>
      </x:c>
      <x:c r="L4" s="26" t="str">
        <x:v>required_facts_missed</x:v>
      </x:c>
      <x:c r="M4" s="26" t="str">
        <x:v>unsupported_claims</x:v>
      </x:c>
      <x:c r="N4" s="26" t="str">
        <x:v>relevant_items_missed</x:v>
      </x:c>
      <x:c r="O4" s="26" t="str">
        <x:v>irrelevant_items_kept</x:v>
      </x:c>
      <x:c r="P4" s="13" t="str">
        <x:v>notes</x:v>
      </x:c>
    </x:row>
    <x:row r="5">
      <x:c r="A5" s="46" t="str">
        <x:v>pilot-v1</x:v>
      </x:c>
      <x:c r="B5" s="46" t="str">
        <x:v>participant-1</x:v>
      </x:c>
      <x:c r="C5" s="46" t="str">
        <x:v>A</x:v>
      </x:c>
      <x:c r="D5" s="46" t="str">
        <x:v>manual_baseline</x:v>
      </x:c>
      <x:c r="E5" s="46" t="str">
        <x:v>analysis</x:v>
      </x:c>
      <x:c r="F5" s="47"/>
      <x:c r="G5" s="47"/>
      <x:c r="H5" s="47"/>
      <x:c r="I5" s="47"/>
      <x:c r="J5" s="47"/>
      <x:c r="K5" s="47"/>
      <x:c r="L5" s="47"/>
      <x:c r="M5" s="47"/>
      <x:c r="N5" s="47"/>
      <x:c r="O5" s="48"/>
      <x:c r="P5" s="48" t="str"/>
    </x:row>
    <x:row r="6">
      <x:c r="A6" s="49" t="str">
        <x:v>pilot-v1</x:v>
      </x:c>
      <x:c r="B6" s="49" t="str">
        <x:v>participant-1</x:v>
      </x:c>
      <x:c r="C6" s="49" t="str">
        <x:v>A</x:v>
      </x:c>
      <x:c r="D6" s="49" t="str">
        <x:v>manual_baseline</x:v>
      </x:c>
      <x:c r="E6" s="49" t="str">
        <x:v>packaging</x:v>
      </x:c>
      <x:c r="F6" s="50"/>
      <x:c r="G6" s="50"/>
      <x:c r="H6" s="50"/>
      <x:c r="I6" s="50"/>
      <x:c r="J6" s="50"/>
      <x:c r="K6" s="50"/>
      <x:c r="L6" s="50"/>
      <x:c r="M6" s="50"/>
      <x:c r="N6" s="50"/>
      <x:c r="O6" s="51"/>
      <x:c r="P6" s="51" t="str"/>
    </x:row>
    <x:row r="7">
      <x:c r="A7" s="49" t="str">
        <x:v>pilot-v1</x:v>
      </x:c>
      <x:c r="B7" s="49" t="str">
        <x:v>participant-1</x:v>
      </x:c>
      <x:c r="C7" s="49" t="str">
        <x:v>B</x:v>
      </x:c>
      <x:c r="D7" s="49" t="str">
        <x:v>product</x:v>
      </x:c>
      <x:c r="E7" s="49" t="str">
        <x:v>analysis</x:v>
      </x:c>
      <x:c r="F7" s="50"/>
      <x:c r="G7" s="50"/>
      <x:c r="H7" s="50"/>
      <x:c r="I7" s="50"/>
      <x:c r="J7" s="50"/>
      <x:c r="K7" s="50"/>
      <x:c r="L7" s="50"/>
      <x:c r="M7" s="50"/>
      <x:c r="N7" s="50"/>
      <x:c r="O7" s="51"/>
      <x:c r="P7" s="51" t="str"/>
    </x:row>
    <x:row r="8">
      <x:c r="A8" s="49" t="str">
        <x:v>pilot-v1</x:v>
      </x:c>
      <x:c r="B8" s="49" t="str">
        <x:v>participant-1</x:v>
      </x:c>
      <x:c r="C8" s="49" t="str">
        <x:v>B</x:v>
      </x:c>
      <x:c r="D8" s="49" t="str">
        <x:v>product</x:v>
      </x:c>
      <x:c r="E8" s="49" t="str">
        <x:v>packaging</x:v>
      </x:c>
      <x:c r="F8" s="50"/>
      <x:c r="G8" s="50"/>
      <x:c r="H8" s="50"/>
      <x:c r="I8" s="50"/>
      <x:c r="J8" s="50"/>
      <x:c r="K8" s="50"/>
      <x:c r="L8" s="50"/>
      <x:c r="M8" s="50"/>
      <x:c r="N8" s="50"/>
      <x:c r="O8" s="51"/>
      <x:c r="P8" s="51" t="str"/>
    </x:row>
    <x:row r="9">
      <x:c r="A9" s="49" t="str">
        <x:v>pilot-v1</x:v>
      </x:c>
      <x:c r="B9" s="49" t="str">
        <x:v>participant-2</x:v>
      </x:c>
      <x:c r="C9" s="49" t="str">
        <x:v>A</x:v>
      </x:c>
      <x:c r="D9" s="49" t="str">
        <x:v>product</x:v>
      </x:c>
      <x:c r="E9" s="49" t="str">
        <x:v>analysis</x:v>
      </x:c>
      <x:c r="F9" s="50"/>
      <x:c r="G9" s="50"/>
      <x:c r="H9" s="50"/>
      <x:c r="I9" s="50"/>
      <x:c r="J9" s="50"/>
      <x:c r="K9" s="50"/>
      <x:c r="L9" s="50"/>
      <x:c r="M9" s="50"/>
      <x:c r="N9" s="50"/>
      <x:c r="O9" s="51"/>
      <x:c r="P9" s="51" t="str"/>
    </x:row>
    <x:row r="10">
      <x:c r="A10" s="49" t="str">
        <x:v>pilot-v1</x:v>
      </x:c>
      <x:c r="B10" s="49" t="str">
        <x:v>participant-2</x:v>
      </x:c>
      <x:c r="C10" s="49" t="str">
        <x:v>A</x:v>
      </x:c>
      <x:c r="D10" s="49" t="str">
        <x:v>product</x:v>
      </x:c>
      <x:c r="E10" s="49" t="str">
        <x:v>packaging</x:v>
      </x:c>
      <x:c r="F10" s="50"/>
      <x:c r="G10" s="50"/>
      <x:c r="H10" s="50"/>
      <x:c r="I10" s="50"/>
      <x:c r="J10" s="50"/>
      <x:c r="K10" s="50"/>
      <x:c r="L10" s="50"/>
      <x:c r="M10" s="50"/>
      <x:c r="N10" s="50"/>
      <x:c r="O10" s="51"/>
      <x:c r="P10" s="51" t="str"/>
    </x:row>
    <x:row r="11">
      <x:c r="A11" s="49" t="str">
        <x:v>pilot-v1</x:v>
      </x:c>
      <x:c r="B11" s="49" t="str">
        <x:v>participant-2</x:v>
      </x:c>
      <x:c r="C11" s="49" t="str">
        <x:v>B</x:v>
      </x:c>
      <x:c r="D11" s="49" t="str">
        <x:v>manual_baseline</x:v>
      </x:c>
      <x:c r="E11" s="49" t="str">
        <x:v>analysis</x:v>
      </x:c>
      <x:c r="F11" s="50"/>
      <x:c r="G11" s="50"/>
      <x:c r="H11" s="50"/>
      <x:c r="I11" s="50"/>
      <x:c r="J11" s="50"/>
      <x:c r="K11" s="50"/>
      <x:c r="L11" s="50"/>
      <x:c r="M11" s="50"/>
      <x:c r="N11" s="50"/>
      <x:c r="O11" s="51"/>
      <x:c r="P11" s="51" t="str"/>
    </x:row>
    <x:row r="12">
      <x:c r="A12" s="52" t="str">
        <x:v>pilot-v1</x:v>
      </x:c>
      <x:c r="B12" s="52" t="str">
        <x:v>participant-2</x:v>
      </x:c>
      <x:c r="C12" s="52" t="str">
        <x:v>B</x:v>
      </x:c>
      <x:c r="D12" s="52" t="str">
        <x:v>manual_baseline</x:v>
      </x:c>
      <x:c r="E12" s="52" t="str">
        <x:v>packaging</x:v>
      </x:c>
      <x:c r="F12" s="53"/>
      <x:c r="G12" s="53"/>
      <x:c r="H12" s="53"/>
      <x:c r="I12" s="53"/>
      <x:c r="J12" s="53"/>
      <x:c r="K12" s="53"/>
      <x:c r="L12" s="53"/>
      <x:c r="M12" s="53"/>
      <x:c r="N12" s="53"/>
      <x:c r="O12" s="54"/>
      <x:c r="P12" s="54" t="str"/>
    </x:row>
    <x:row r="13">
      <x:c r="A13" s="1"/>
      <x:c r="B13" s="1"/>
      <x:c r="C13" s="1"/>
      <x:c r="D13" s="1"/>
      <x:c r="E13" s="1"/>
      <x:c r="F13" s="1"/>
      <x:c r="G13" s="1"/>
      <x:c r="H13" s="1"/>
      <x:c r="I13" s="1"/>
      <x:c r="J13" s="1"/>
      <x:c r="K13" s="1"/>
      <x:c r="L13" s="1"/>
      <x:c r="M13" s="1"/>
      <x:c r="N13" s="1"/>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1"/>
      <x:c r="B16" s="1"/>
      <x:c r="C16" s="1"/>
      <x:c r="D16" s="1"/>
      <x:c r="E16" s="1"/>
      <x:c r="F16" s="1"/>
      <x:c r="G16" s="1"/>
      <x:c r="H16" s="1"/>
      <x:c r="I16" s="1"/>
      <x:c r="J16" s="1"/>
      <x:c r="K16" s="1"/>
      <x:c r="L16" s="1"/>
      <x:c r="M16" s="1"/>
      <x:c r="N16" s="1"/>
    </x:row>
    <x:row r="17">
      <x:c r="A17" s="1"/>
      <x:c r="B17" s="1"/>
      <x:c r="C17" s="1"/>
      <x:c r="D17" s="1"/>
      <x:c r="E17" s="1"/>
      <x:c r="F17" s="1"/>
      <x:c r="G17" s="1"/>
      <x:c r="H17" s="1"/>
      <x:c r="I17" s="1"/>
      <x:c r="J17" s="1"/>
      <x:c r="K17" s="1"/>
      <x:c r="L17" s="1"/>
      <x:c r="M17" s="1"/>
      <x:c r="N17" s="1"/>
    </x:row>
    <x:row r="18">
      <x:c r="A18" s="1"/>
      <x:c r="B18" s="1"/>
      <x:c r="C18" s="1"/>
      <x:c r="D18" s="1"/>
      <x:c r="E18" s="1"/>
      <x:c r="F18" s="1"/>
      <x:c r="G18" s="1"/>
      <x:c r="H18" s="1"/>
      <x:c r="I18" s="1"/>
      <x:c r="J18" s="1"/>
      <x:c r="K18" s="1"/>
      <x:c r="L18" s="1"/>
      <x:c r="M18" s="1"/>
      <x:c r="N18" s="1"/>
    </x:row>
    <x:row r="19">
      <x:c r="A19" s="1"/>
      <x:c r="B19" s="1"/>
      <x:c r="C19" s="1"/>
      <x:c r="D19" s="1"/>
      <x:c r="E19" s="1"/>
      <x:c r="F19" s="1"/>
      <x:c r="G19" s="1"/>
      <x:c r="H19" s="1"/>
      <x:c r="I19" s="1"/>
      <x:c r="J19" s="1"/>
      <x:c r="K19" s="1"/>
      <x:c r="L19" s="1"/>
      <x:c r="M19" s="1"/>
      <x:c r="N19" s="1"/>
    </x:row>
    <x:row r="20">
      <x:c r="A20" s="1"/>
      <x:c r="B20" s="1"/>
      <x:c r="C20" s="1"/>
      <x:c r="D20" s="1"/>
      <x:c r="E20" s="1"/>
      <x:c r="F20" s="1"/>
      <x:c r="G20" s="1"/>
      <x:c r="H20" s="1"/>
      <x:c r="I20" s="1"/>
      <x:c r="J20" s="1"/>
      <x:c r="K20" s="1"/>
      <x:c r="L20" s="1"/>
      <x:c r="M20" s="1"/>
      <x:c r="N20" s="1"/>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P1"/>
    <x:mergeCell ref="A2:P2"/>
  </x:mergeCells>
  <x:pageMargins left="0.7" right="0.7" top="0.75" bottom="0.75" header="0.3" footer="0.3"/>
</x:worksheet>
</file>

<file path=xl/worksheets/sheet3.xml><?xml version="1.0" encoding="utf-8"?>
<x:worksheet xmlns:x="http://schemas.openxmlformats.org/spreadsheetml/2006/main">
  <x:sheetPr>
    <x:tabColor rgb="FF2563EB"/>
  </x:sheetPr>
  <x:sheetViews>
    <x:sheetView showGridLines="0" workbookViewId="0">
      <x:pane ySplit="4" topLeftCell="A5" activePane="bottomLeft" state="frozen"/>
    </x:sheetView>
  </x:sheetViews>
  <x:sheetFormatPr defaultRowHeight="15"/>
  <x:cols>
    <x:col min="1" max="1" width="10" hidden="0" customWidth="1"/>
    <x:col min="2" max="2" width="19" hidden="0" customWidth="1"/>
    <x:col min="3" max="3" width="17" hidden="0" customWidth="1"/>
    <x:col min="4" max="4" width="23" hidden="0" customWidth="1"/>
    <x:col min="5" max="5" width="42" hidden="0" customWidth="1"/>
    <x:col min="6" max="6" width="78" hidden="0" customWidth="1"/>
    <x:col min="7" max="7" width="3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28" customHeight="1">
      <x:c r="A1" s="22" t="str">
        <x:v>Поток A: входные материалы</x:v>
      </x:c>
      <x:c r="B1" s="1"/>
      <x:c r="C1" s="1"/>
      <x:c r="D1" s="1"/>
      <x:c r="E1" s="1"/>
      <x:c r="F1" s="1"/>
      <x:c r="G1" s="1"/>
      <x:c r="H1" s="1"/>
      <x:c r="I1" s="79" t="str">
        <x:v>Стартовое состояние</x:v>
      </x:c>
      <x:c r="J1" s="1"/>
      <x:c r="K1" s="1"/>
      <x:c r="L1" s="1"/>
      <x:c r="M1" s="1"/>
      <x:c r="N1" s="1"/>
    </x:row>
    <x:row r="2">
      <x:c r="A2" s="57" t="str">
        <x:v>Читайте по времени появления. Не открывайте лист другого потока до завершения этого режима.</x:v>
      </x:c>
      <x:c r="B2" s="1"/>
      <x:c r="C2" s="1"/>
      <x:c r="D2" s="1"/>
      <x:c r="E2" s="1"/>
      <x:c r="F2" s="1"/>
      <x:c r="G2" s="1"/>
      <x:c r="H2" s="1"/>
      <x:c r="I2" s="1"/>
      <x:c r="J2" s="1"/>
      <x:c r="K2" s="1"/>
      <x:c r="L2" s="1"/>
      <x:c r="M2" s="1"/>
      <x:c r="N2" s="1"/>
    </x:row>
    <x:row r="3">
      <x:c r="A3" s="1"/>
      <x:c r="B3" s="1"/>
      <x:c r="C3" s="1"/>
      <x:c r="D3" s="1"/>
      <x:c r="E3" s="1"/>
      <x:c r="F3" s="1"/>
      <x:c r="G3" s="1"/>
      <x:c r="H3" s="1"/>
      <x:c r="I3" s="12" t="str">
        <x:v>Известное событие</x:v>
      </x:c>
      <x:c r="J3" s="26" t="str">
        <x:v>Статус</x:v>
      </x:c>
      <x:c r="K3" s="26" t="str">
        <x:v>Последнее обновление</x:v>
      </x:c>
      <x:c r="L3" s="13" t="str">
        <x:v>ID</x:v>
      </x:c>
      <x:c r="M3" s="80"/>
      <x:c r="N3" s="80"/>
    </x:row>
    <x:row r="4">
      <x:c r="A4" s="66" t="str">
        <x:v>ID</x:v>
      </x:c>
      <x:c r="B4" s="67" t="str">
        <x:v>Время</x:v>
      </x:c>
      <x:c r="C4" s="67" t="str">
        <x:v>Канал</x:v>
      </x:c>
      <x:c r="D4" s="67" t="str">
        <x:v>Источник</x:v>
      </x:c>
      <x:c r="E4" s="67" t="str">
        <x:v>Заголовок</x:v>
      </x:c>
      <x:c r="F4" s="67" t="str">
        <x:v>Исходный текст</x:v>
      </x:c>
      <x:c r="G4" s="68" t="str">
        <x:v>Ссылка</x:v>
      </x:c>
      <x:c r="H4" s="1"/>
      <x:c r="I4" s="80" t="str">
        <x:v>Обновление платформы StingrayTV</x:v>
      </x:c>
      <x:c r="J4" s="80" t="str">
        <x:v>confirmed</x:v>
      </x:c>
      <x:c r="K4" s="81" t="n">
        <x:v>46254.541666666664</x:v>
      </x:c>
      <x:c r="L4" s="80" t="str">
        <x:v>KNOWN-A-01</x:v>
      </x:c>
      <x:c r="M4" s="80"/>
      <x:c r="N4" s="80"/>
    </x:row>
    <x:row r="5" ht="90" customHeight="1">
      <x:c r="A5" s="46" t="str">
        <x:v>A01</x:v>
      </x:c>
      <x:c r="B5" s="76" t="n">
        <x:v>46258.211805555555</x:v>
      </x:c>
      <x:c r="C5" s="46" t="str">
        <x:v>rss</x:v>
      </x:c>
      <x:c r="D5" s="46" t="str">
        <x:v>Ритейл-практика</x:v>
      </x:c>
      <x:c r="E5" s="46" t="str">
        <x:v>Ритейлер тестирует электронные ценники</x:v>
      </x:c>
      <x:c r="F5" s="46" t="str">
        <x:v>Сеть магазинов одежды начала пилот электронных ценников в десяти торговых точках. Цены обновляются из центральной учётной системы, а сотрудники управляют экранами через мобильный терминал.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5" s="46" t="str">
        <x:v>https://fixtures.gs-labs.invalid/rss/a01</x:v>
      </x:c>
      <x:c r="H5" s="1"/>
      <x:c r="I5" s="80" t="str">
        <x:v>Отраслевой круглый стол по гибридному телевидению</x:v>
      </x:c>
      <x:c r="J5" s="80" t="str">
        <x:v>confirmed</x:v>
      </x:c>
      <x:c r="K5" s="81" t="n">
        <x:v>46253.430555555555</x:v>
      </x:c>
      <x:c r="L5" s="80" t="str">
        <x:v>KNOWN-A-02</x:v>
      </x:c>
      <x:c r="M5" s="80"/>
      <x:c r="N5" s="80"/>
    </x:row>
    <x:row r="6" ht="90" customHeight="1">
      <x:c r="A6" s="49" t="str">
        <x:v>A02</x:v>
      </x:c>
      <x:c r="B6" s="77" t="n">
        <x:v>46258.22083333333</x:v>
      </x:c>
      <x:c r="C6" s="49" t="str">
        <x:v>telegram</x:v>
      </x:c>
      <x:c r="D6" s="49" t="str">
        <x:v>HoReCa AI</x:v>
      </x:c>
      <x:c r="E6" s="49" t="str">
        <x:v>Нейросеть выбирает музыку для кафе</x:v>
      </x:c>
      <x:c r="F6" s="49" t="str">
        <x:v>Сервис фоновой музыки добавил генеративные плейлисты для ресторанов. Решение предназначено только для заведений общественного питания.</x:v>
      </x:c>
      <x:c r="G6" s="49" t="str">
        <x:v>https://fixtures.gs-labs.invalid/telegram/a02</x:v>
      </x:c>
      <x:c r="H6" s="1"/>
      <x:c r="I6" s="80" t="str">
        <x:v>Завершённый конкурс интерфейсов для регионального оператора</x:v>
      </x:c>
      <x:c r="J6" s="80" t="str">
        <x:v>archived</x:v>
      </x:c>
      <x:c r="K6" s="81" t="n">
        <x:v>46249.625</x:v>
      </x:c>
      <x:c r="L6" s="80" t="str">
        <x:v>KNOWN-A-03</x:v>
      </x:c>
      <x:c r="M6" s="80"/>
      <x:c r="N6" s="80"/>
    </x:row>
    <x:row r="7" ht="90" customHeight="1">
      <x:c r="A7" s="49" t="str">
        <x:v>A07</x:v>
      </x:c>
      <x:c r="B7" s="77" t="n">
        <x:v>46258.225</x:v>
      </x:c>
      <x:c r="C7" s="49" t="str">
        <x:v>regulator_html</x:v>
      </x:c>
      <x:c r="D7" s="49" t="str">
        <x:v>Портал проектов требований</x:v>
      </x:c>
      <x:c r="E7" s="49" t="str">
        <x:v>Проект требований к защищённой загрузке абонентских устройств</x:v>
      </x:c>
      <x:c r="F7" s="49" t="str">
        <x:v>Регулятор вынес на обсуждение требования к проверке цифровой подписи системного ПО абонентских устройств. Замечания принимаются до 18 сентября 2026 года. Требования предлагается применять к новым моделям через девять месяцев после утверждения.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
Раздел 8. История версий позволяет восстановить добавленные, исключённые и изменённые положения. Новый URL карточки сам по себе не доказывает появление нового независимого проекта.
Раздел 9. В разделе статуса отдельно указываются этап, дата события и основание изменения. Только это поле показывает, продолжается ли процедура, завершена она или прекращена.
Раздел 10. Перечень приложений может включать текст, сравнительную таблицу, финансовое обоснование и протокол. Отсутствующий файл не следует реконструировать по названию.
Раздел 11. Контрольная информация предназначена для проверки происхождения: идентификатор карточки, время обновления и орган-разработчик сохраняются без нормализации смысла.
Раздел 12. Раздел уведомлений фиксирует только действия на портале. Уведомление о размещении редакции не равно уведомлению о вступлении требований в силу.
Раздел 13. Если вторичная публикация противоречит карточке, её можно сохранить как отдельную позицию или риск коммуникации, но нельзя ею перезаписывать официальный статус.
Раздел 14. Предметная применимость определяется по определениям и области действия документа. Название технологии или отрасли в тексте ещё не доказывает влияние на конкретный продукт GS Labs.
Раздел 15. Архивная версия остаётся доступной для сравнения. Текущая редакция и перечень существенных изменений относительно прошлой опубликованы раздельно.
Раздел 16. Поля карточки могут обновляться не одновременно: дата страницы, дата документа и дата события различаются и приводятся в отдельных реквизитах.
Раздел 17. Решение о прекращении, возврате или доработке не стирает прежнюю историю. Оно добавляется как новое состояние долгоживущего объекта НПА.
Раздел 18. Сводные сведения процедуры включают идентификатор объекта, текущий этап, актуальную редакцию и перечень внесённых изменений.
Раздел 19. Сведения об ответственном подразделении помогают отличить официальный документ от материалов с похожим названием, выпущенных другим органом.
Раздел 20. Версия основного файла фиксируется вместе с контрольной суммой и датой загрузки. Замена вложения без изменения заголовка карточки всё равно считается новой редакцией.
Раздел 21. Таблица разногласий показывает, какие предложения учтены, отклонены или требуют дополнительного согласования. Она не меняет текст до публикации новой редакции.
Раздел 22. Поле предполагаемой даты применения заполняется разработчиком и может измениться на следующем этапе. Оно не тождественно дате принятия или публикации.</x:v>
      </x:c>
      <x:c r="G7" s="49" t="str">
        <x:v>https://fixtures.gs-labs.invalid/regulator_html/a07</x:v>
      </x:c>
      <x:c r="H7" s="1"/>
      <x:c r="I7" s="80" t="str">
        <x:v>Публикация исследования рынка Smart TV</x:v>
      </x:c>
      <x:c r="J7" s="80" t="str">
        <x:v>confirmed</x:v>
      </x:c>
      <x:c r="K7" s="81" t="n">
        <x:v>46248.333333333336</x:v>
      </x:c>
      <x:c r="L7" s="80" t="str">
        <x:v>KNOWN-A-04</x:v>
      </x:c>
      <x:c r="M7" s="80"/>
      <x:c r="N7" s="80"/>
    </x:row>
    <x:row r="8" ht="90" customHeight="1">
      <x:c r="A8" s="49" t="str">
        <x:v>A03</x:v>
      </x:c>
      <x:c r="B8" s="77" t="n">
        <x:v>46258.23125</x:v>
      </x:c>
      <x:c r="C8" s="49" t="str">
        <x:v>media_html</x:v>
      </x:c>
      <x:c r="D8" s="49" t="str">
        <x:v>Промышленный регион</x:v>
      </x:c>
      <x:c r="E8" s="49" t="str">
        <x:v>Завод упаковки расширил линию</x:v>
      </x:c>
      <x:c r="F8" s="49" t="str">
        <x:v>Производитель картонной упаковки запустил новую линию в Тверской области. На короба наносятся цифровые коды маркировки, а камеры автоматически проверяют качество печати.
Контекст 1. Автор сопоставляет сообщение с отраслевым контекстом и приводит позицию независимого участника. Интерпретации автора не заменяют первичные документы.
Контекст 2. В конце материала перечислены исходные ссылки и отмечено, какие числа относятся к текущему состоянию, а какие — к прогнозу или потенциальному охвату.
Контекст 3. Редакционная справка объясняет терминологию, однако не содержит новых сведений о конкретной компании. Её следует отделять от новости.
Контекст 4. Комментарий эксперта подписан и сохранён как мнение. Он может быть полезен для PR-контекста, но не должен превращаться в подтверждённый результат проекта.
Контекст 5. Материал обновлялся после выхода; исправления перечислены внизу страницы. Время первой публикации и время актуализации сохраняются отдельно.
Контекст 6. Сравнение с рынком построено на открытых сообщениях компаний. Оно не является полной оценкой долей или конкурентных позиций.
Контекст 7. Автор отмечает неизвестные параметры и не делает вывода о применимости к продуктам GS Labs без внутренней информации.
Контекст 8. Заголовок сокращает смысл события. Для итоговой карточки требуется сохранить оговорки и фактический статус из основного текста.
Контекст 9. Хронология в статье собрана из нескольких сообщений. Каждое событие сохраняет собственную дату, даже если материал опубликован позднее.
Контекст 10. Упоминание конкурента используется как рыночный контекст и не подтверждает прямое сравнение характеристик или результатов.</x:v>
      </x:c>
      <x:c r="G8" s="49" t="str">
        <x:v>https://fixtures.gs-labs.invalid/media_html/a03</x:v>
      </x:c>
      <x:c r="H8" s="1"/>
      <x:c r="I8" s="80"/>
      <x:c r="J8" s="80"/>
      <x:c r="K8" s="80"/>
      <x:c r="L8" s="80"/>
      <x:c r="M8" s="80"/>
      <x:c r="N8" s="80"/>
    </x:row>
    <x:row r="9" ht="90" customHeight="1">
      <x:c r="A9" s="49" t="str">
        <x:v>A04</x:v>
      </x:c>
      <x:c r="B9" s="77" t="n">
        <x:v>46258.24652777778</x:v>
      </x:c>
      <x:c r="C9" s="49" t="str">
        <x:v>rss</x:v>
      </x:c>
      <x:c r="D9" s="49" t="str">
        <x:v>Медиарынок Daily</x:v>
      </x:c>
      <x:c r="E9" s="49" t="str">
        <x:v>Онлайн-кинотеатр обновил каталог сериалов</x:v>
      </x:c>
      <x:c r="F9" s="49" t="str">
        <x:v>Платформа приобрела права на семь зарубежных драм и опубликовала календарь премьер на осень. Первые два сериала появятся в каталоге 4 сентября.</x:v>
      </x:c>
      <x:c r="G9" s="49" t="str">
        <x:v>https://fixtures.gs-labs.invalid/rss/a04</x:v>
      </x:c>
      <x:c r="H9" s="1"/>
      <x:c r="I9" s="80"/>
      <x:c r="J9" s="80"/>
      <x:c r="K9" s="80"/>
      <x:c r="L9" s="80"/>
      <x:c r="M9" s="80"/>
      <x:c r="N9" s="80"/>
    </x:row>
    <x:row r="10" ht="90" customHeight="1">
      <x:c r="A10" s="49" t="str">
        <x:v>A17</x:v>
      </x:c>
      <x:c r="B10" s="77" t="n">
        <x:v>46258.25069444445</x:v>
      </x:c>
      <x:c r="C10" s="49" t="str">
        <x:v>regulator_html</x:v>
      </x:c>
      <x:c r="D10" s="49" t="str">
        <x:v>Портал проектов НПА</x:v>
      </x:c>
      <x:c r="E10" s="49" t="str">
        <x:v>Обсуждение проекта 26-041 о предустановке медиаприложений</x:v>
      </x:c>
      <x:c r="F10" s="49" t="str">
        <x:v>На портале проектов опубликован проект 26-041. Он предлагает включить отечественное медиаприложение в перечень программ для предустановки на новые телевизионные устройства. Обсуждение открыто до 2 сентября 2026 года.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
Раздел 8. История версий позволяет восстановить добавленные, исключённые и изменённые положения. Новый URL карточки сам по себе не доказывает появление нового независимого проекта.
Раздел 9. В разделе статуса отдельно указываются этап, дата события и основание изменения. Только это поле показывает, продолжается ли процедура, завершена она или прекращена.
Раздел 10. Перечень приложений может включать текст, сравнительную таблицу, финансовое обоснование и протокол. Отсутствующий файл не следует реконструировать по названию.
Раздел 11. Контрольная информация предназначена для проверки происхождения: идентификатор карточки, время обновления и орган-разработчик сохраняются без нормализации смысла.
Раздел 12. Раздел уведомлений фиксирует только действия на портале. Уведомление о размещении редакции не равно уведомлению о вступлении требований в силу.
Раздел 13. Если вторичная публикация противоречит карточке, её можно сохранить как отдельную позицию или риск коммуникации, но нельзя ею перезаписывать официальный статус.
Раздел 14. Предметная применимость определяется по определениям и области действия документа. Название технологии или отрасли в тексте ещё не доказывает влияние на конкретный продукт GS Labs.
Раздел 15. Архивная версия остаётся доступной для сравнения. Текущая редакция и перечень существенных изменений относительно прошлой опубликованы раздельно.
Раздел 16. Поля карточки могут обновляться не одновременно: дата страницы, дата документа и дата события различаются и приводятся в отдельных реквизитах.
Раздел 17. Решение о прекращении, возврате или доработке не стирает прежнюю историю. Оно добавляется как новое состояние долгоживущего объекта НПА.
Раздел 18. Сводные сведения процедуры включают идентификатор объекта, текущий этап, актуальную редакцию и перечень внесённых изменений.
Раздел 19. Сведения об ответственном подразделении помогают отличить официальный документ от материалов с похожим названием, выпущенных другим органом.
Раздел 20. Версия основного файла фиксируется вместе с контрольной суммой и датой загрузки. Замена вложения без изменения заголовка карточки всё равно считается новой редакцией.
Раздел 21. Таблица разногласий показывает, какие предложения учтены, отклонены или требуют дополнительного согласования. Она не меняет текст до публикации новой редакции.
Раздел 22. Поле предполагаемой даты применения заполняется разработчиком и может измениться на следующем этапе. Оно не тождественно дате принятия или публикации.
Раздел 23. Для каждого события истории сохраняется ссылка на основание: протокол, заключение, уведомление либо итоговый акт. Событие без основания помечается неполным.
Раздел 24. Если у карточки отсутствует стабильный публичный номер, идентичность проверяется по органу, предмету, датам и ссылкам между приложениями; одного сходства текста недостаточно.
Раздел 25. Редакции сравниваются по содержанию, а не по имени файла. Одинаковое имя вложения может скрывать изменённый срок, область или исключение.
Раздел 26. Вложения могут публиковаться позднее самой карточки. До их появления в карточке отображается отметка о неполном комплекте документов.
Раздел 27. Сведения о вступлении в силу появляются только после принятия и официального опубликования. Для проекта допустима лишь предлагаемая дата применения.
Раздел 28. Архивирование разрешено после фиксации итогового состояния и даты действия, но не удаляет карточку, версии и доказательства предыдущих выводов.
Раздел 29. Похожие термины в соседнем акте не создают связь автоматически. Совпадение должно подтверждаться идентификатором, историей либо прямой ссылкой документа.
Раздел 30. При изменении области действия пересматривается оценка влияния. Старая оценка сохраняется в истории и не выдаётся как актуальная.
Раздел 31. Замечания участников обсуждения хранятся с авторством. Они не становятся позицией разработчика, пока это не следует из новой редакции или сводного отчёта.
Раздел 32. Официальная публикация может сопровождаться кратким анонсом. Анонс помогает обнаружению, но обязательные параметры извлекаются из карточки и вложений.
Раздел 33. Для срочных сроков отдельно отмечается часовой пояс и правило расчёта календарных или рабочих дней. Если правило не указано, это остаётся неопределённостью.
Раздел 34. Отсутствие изменения и отсутствие доступного нового файла обозначаются в карточке разными статусами.
Раздел 35. Карточка сохраняется даже после переноса в архив портала. Локальная копия используется для доказательства того, на какой версии основывался прошлый выпуск.
Раздел 36. Итоговый объект не обязан повторять всю служебную информацию портала, но должен позволять открыть её и проверить каждый существенный вывод.
Раздел 37. Формат номера и наименование документа сохраняются без самовольного исправления. Нормализованное название используется только как дополнительное поле для поиска.
Раздел 38. Связь между карточками считается подтверждённой, если одна редакция прямо ссылается на протокол или идентификатор предыдущей процедуры.
Раздел 39. При одновременной публикации нескольких файлов основной текст и приложения перечисляются отдельно с собственными датами и назначением.
Раздел 40. Внутренняя оценка последствий не входит в официальный статус процедуры и не изменяет оригинал опубликованного документа.
Раздел 41. Снятый с рассмотрения текст нельзя показывать как действующее требование, однако его история остаётся значимой для объяснения прежних решений.
Раздел 42. Дата окончания обсуждения используется как рабочий срок реакции, только если обсуждение ещё открыто в текущем состоянии карточки.
Раздел 43. После принятия фиксируются реквизиты итогового акта и дата начала действия. До этой даты состояния «принят» и «действует» различаются.
Раздел 44. Журнал изменений указывает редакцию, из которой происходит каждый изменённый фрагмент, и отдельно называет актуальную версию.
Раздел 45. Если итоговый акт опубликован несколькими частями, каждая часть связывается с общей карточкой, но даты и области действия не переносятся между ними без прямого основания.
Раздел 46. Изменение только служебных реквизитов не считается содержательной новой редакцией. Система отдельно показывает техническое обновление карточки и изменение требований.
Раздел 47. При обнаружении расхождения между машиночитаемой карточкой и приложенным документом приоритет не назначается автоматически: конфликт сохраняется для проверки с обеими версиями доказательства.
Раздел 48. Срок исполнения требования начинается от юридически значимого события, указанного в акте. Дата индексации, скачивания или появления в агрегаторе для этого не используется.</x:v>
      </x:c>
      <x:c r="G10" s="49" t="str">
        <x:v>https://fixtures.gs-labs.invalid/regulator_html/a17</x:v>
      </x:c>
      <x:c r="H10" s="1"/>
      <x:c r="I10" s="12" t="str">
        <x:v>НПА</x:v>
      </x:c>
      <x:c r="J10" s="26" t="str">
        <x:v>Стадия</x:v>
      </x:c>
      <x:c r="K10" s="26" t="str">
        <x:v>Версия</x:v>
      </x:c>
      <x:c r="L10" s="26" t="str">
        <x:v>Последнее событие</x:v>
      </x:c>
      <x:c r="M10" s="26" t="str">
        <x:v>ID</x:v>
      </x:c>
      <x:c r="N10" s="13" t="str">
        <x:v>История</x:v>
      </x:c>
    </x:row>
    <x:row r="11" ht="90" customHeight="1">
      <x:c r="A11" s="49" t="str">
        <x:v>A08</x:v>
      </x:c>
      <x:c r="B11" s="77" t="n">
        <x:v>46258.25555555556</x:v>
      </x:c>
      <x:c r="C11" s="49" t="str">
        <x:v>corporate_html</x:v>
      </x:c>
      <x:c r="D11" s="49" t="str">
        <x:v>GS Labs</x:v>
      </x:c>
      <x:c r="E11" s="49" t="str">
        <x:v>GS Labs открыла набор в программу для разработчиков приложений</x:v>
      </x:c>
      <x:c r="F11" s="49" t="str">
        <x:v>GS Labs объявила набор команд в программу разработки приложений для телевизионных платформ. Участникам предоставят документацию и тестовые устройства; коммерческий запуск их продуктов не гарантируется.
Контекст 1. Пресс-центр приводит слова представителя компании и фактические параметры объявления. Оценки масштаба и будущие планы отделены от уже выполненных действий.
Контекст 2. Материал предназначен для публичного распространения; технические детали и коммерческие условия, не указанные в тексте, считать подтверждёнными нельзя.
Контекст 3. В справочном блоке описана специализация участников, но не раскрываются доли, стоимость работ и обязательства после пилотного этапа.
Контекст 4. Цитата руководителя относится к цели проекта. Она не является измеренным результатом и не подтверждает достижение будущих показателей.
Контекст 5. Контакт для СМИ указан для уточнений. Отсутствующие в релизе ответы нельзя заменять предположениями о стратегии или внутренних планах.
Контекст 6. Фотографии и демонстрационные материалы иллюстрируют объявление, но не расширяют заявленный масштаб внедрения.
Контекст 7. Дата релиза отражает момент публичного сообщения. Фактическое начало пилота или программы приводится отдельно, если оно известно.
Контекст 8. Следующие этапы сформулированы как намерения и зависят от результатов текущего этапа. Их нельзя описывать как уже принятые решения.
Контекст 9. Справка о компаниях описывает их профиль на дату релиза и не подтверждает эксклюзивность партнёрства.
Контекст 10. Если в публикации приведён диапазон или верхняя граница, итоговая карточка не должна превращать его в фактически достигнутое значение.</x:v>
      </x:c>
      <x:c r="G11" s="49" t="str">
        <x:v>https://fixtures.gs-labs.invalid/corporate_html/a08</x:v>
      </x:c>
      <x:c r="H11" s="1"/>
      <x:c r="I11" s="80" t="str">
        <x:v>Предустановка медиаприложений</x:v>
      </x:c>
      <x:c r="J11" s="80" t="str">
        <x:v>public_discussion</x:v>
      </x:c>
      <x:c r="K11" s="80" t="str">
        <x:v>v1</x:v>
      </x:c>
      <x:c r="L11" s="80" t="str">
        <x:v>2026-08-12</x:v>
      </x:c>
      <x:c r="M11" s="80" t="str">
        <x:v>02/15/07-26/00181111</x:v>
      </x:c>
      <x:c r="N11" s="80" t="str">
        <x:v>2026-08-12: public_discussion v1</x:v>
      </x:c>
    </x:row>
    <x:row r="12" ht="90" customHeight="1">
      <x:c r="A12" s="49" t="str">
        <x:v>A05</x:v>
      </x:c>
      <x:c r="B12" s="77" t="n">
        <x:v>46258.26180555556</x:v>
      </x:c>
      <x:c r="C12" s="49" t="str">
        <x:v>telegram</x:v>
      </x:c>
      <x:c r="D12" s="49" t="str">
        <x:v>EdTech Brief</x:v>
      </x:c>
      <x:c r="E12" s="49" t="str">
        <x:v>Банк открыл школу аналитиков</x:v>
      </x:c>
      <x:c r="F12" s="49" t="str">
        <x:v>Банк начал бесплатный курс анализа данных для студентов. В программе — SQL, визуализация отчётов и итоговый проект на обезличенных банковских данных.</x:v>
      </x:c>
      <x:c r="G12" s="49" t="str">
        <x:v>https://fixtures.gs-labs.invalid/telegram/a05</x:v>
      </x:c>
      <x:c r="H12" s="1"/>
      <x:c r="I12" s="80" t="str">
        <x:v>Доступность интерфейсов Smart TV</x:v>
      </x:c>
      <x:c r="J12" s="80" t="str">
        <x:v>approved_voluntary</x:v>
      </x:c>
      <x:c r="K12" s="80" t="str">
        <x:v>v1</x:v>
      </x:c>
      <x:c r="L12" s="80" t="str">
        <x:v>2026-08-15</x:v>
      </x:c>
      <x:c r="M12" s="80" t="str">
        <x:v>STD-TV-14</x:v>
      </x:c>
      <x:c r="N12" s="80" t="str">
        <x:v>2026-08-15: approved_voluntary v1</x:v>
      </x:c>
    </x:row>
    <x:row r="13" ht="90" customHeight="1">
      <x:c r="A13" s="49" t="str">
        <x:v>A06</x:v>
      </x:c>
      <x:c r="B13" s="77" t="n">
        <x:v>46258.27916666667</x:v>
      </x:c>
      <x:c r="C13" s="49" t="str">
        <x:v>rss</x:v>
      </x:c>
      <x:c r="D13" s="49" t="str">
        <x:v>Consumer IoT</x:v>
      </x:c>
      <x:c r="E13" s="49" t="str">
        <x:v>Рынок умных кормушек вырос за квартал</x:v>
      </x:c>
      <x:c r="F13" s="49" t="str">
        <x:v>Обзор интернет-магазина сообщает о росте продаж умных кормушек для домашних животных на 18%. Покупатели чаще выбирают модели с бытовой камерой и мобильным приложением.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3" s="49" t="str">
        <x:v>https://fixtures.gs-labs.invalid/rss/a06</x:v>
      </x:c>
      <x:c r="H13" s="1"/>
      <x:c r="I13" s="1"/>
      <x:c r="J13" s="1"/>
      <x:c r="K13" s="1"/>
      <x:c r="L13" s="1"/>
      <x:c r="M13" s="1"/>
      <x:c r="N13" s="1"/>
    </x:row>
    <x:row r="14" ht="90" customHeight="1">
      <x:c r="A14" s="49" t="str">
        <x:v>A09</x:v>
      </x:c>
      <x:c r="B14" s="77" t="n">
        <x:v>46258.29583333333</x:v>
      </x:c>
      <x:c r="C14" s="49" t="str">
        <x:v>rss</x:v>
      </x:c>
      <x:c r="D14" s="49" t="str">
        <x:v>Телеком-закупки</x:v>
      </x:c>
      <x:c r="E14" s="49" t="str">
        <x:v>Региональный оператор объявил конкурс на телевизионную платформу</x:v>
      </x:c>
      <x:c r="F14" s="49" t="str">
        <x:v>Оператор связи «Северный поток» объявил конкурс на middleware и клиентское ПО для 180 тысяч приставок. Приём заявок завершается 12 сентября; требования допускают российские решения и не называют победителя.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4" s="49" t="str">
        <x:v>https://fixtures.gs-labs.invalid/rss/a09</x:v>
      </x:c>
      <x:c r="H14" s="1"/>
      <x:c r="I14" s="1"/>
      <x:c r="J14" s="1"/>
      <x:c r="K14" s="1"/>
      <x:c r="L14" s="1"/>
      <x:c r="M14" s="1"/>
      <x:c r="N14" s="1"/>
    </x:row>
    <x:row r="15" ht="90" customHeight="1">
      <x:c r="A15" s="49" t="str">
        <x:v>A20</x:v>
      </x:c>
      <x:c r="B15" s="77" t="n">
        <x:v>46258.30972222222</x:v>
      </x:c>
      <x:c r="C15" s="49" t="str">
        <x:v>search_api</x:v>
      </x:c>
      <x:c r="D15" s="49" t="str">
        <x:v>Муниципальные закупки</x:v>
      </x:c>
      <x:c r="E15" s="49" t="str">
        <x:v>Техзадание муниципальной сети требует совместимости с двумя CAS</x:v>
      </x:c>
      <x:c r="F15" s="49" t="str">
        <x:v>В приложении к закупке муниципального оператора указана обязательная одновременная совместимость клиентского ПО с CAS «Ключ-А» и «Ключ-Б». Плановый объём — 45 тысяч устройств; заявки принимаются до 9 сентября. Документ не упоминался в постоянных источниках.
Контекст 1. Результат найден дополнительным поиском и отсутствует в постоянной ленте. Фрагмент может быть неполным, поэтому вывод должен опираться на доступный первичный документ и явно отмечать неизвестное.
Контекст 2. Поисковая оценка показывает близость запросу, но не является оценкой достоверности или важности для GS Labs.
Контекст 3. Дата в поисковом ответе может отсутствовать или относиться к индексации. Если время публикации критично, его нужно получать с исходной страницы.
Контекст 4. Одинаковый URL может встретиться и в постоянном источнике. Такое повторное обнаружение не является второй публикацией или дополнительным подтверждением.
Контекст 5. Фрагмент сформирован поисковой выдачей и может обрываться до важной оговорки; полный текст доступен только на исходной странице.
Контекст 6. Сходство с запросом вызвано несколькими отраслевыми терминами. Оно не гарантирует связь с цифровым телевидением или интересами компании.
Контекст 7. При недоступности полного текста сохраняются заголовок, URL, фрагмент и признак неполноты. Результат может быть отправлен на проверку, но не выпускаться как установленный факт.
Контекст 8. Поиск выполнялся в фиксированном временном окне и с замороженной формулировкой запроса. Это позволяет сравнивать fixed и hybrid без подмены условий.</x:v>
      </x:c>
      <x:c r="G15" s="49" t="str">
        <x:v>https://fixtures.gs-labs.invalid/search_api/a20</x:v>
      </x:c>
      <x:c r="H15" s="1"/>
      <x:c r="I15" s="1"/>
      <x:c r="J15" s="1"/>
      <x:c r="K15" s="1"/>
      <x:c r="L15" s="1"/>
      <x:c r="M15" s="1"/>
      <x:c r="N15" s="1"/>
    </x:row>
    <x:row r="16" ht="90" customHeight="1">
      <x:c r="A16" s="49" t="str">
        <x:v>A10</x:v>
      </x:c>
      <x:c r="B16" s="77" t="n">
        <x:v>46258.32708333333</x:v>
      </x:c>
      <x:c r="C16" s="49" t="str">
        <x:v>telegram</x:v>
      </x:c>
      <x:c r="D16" s="49" t="str">
        <x:v>Медиафорум</x:v>
      </x:c>
      <x:c r="E16" s="49" t="str">
        <x:v>Эксперты обсудили прозрачность рекомендательных систем</x:v>
      </x:c>
      <x:c r="F16" s="49" t="str">
        <x:v>На отраслевой конференции предложили добровольно раскрывать пользователям основные принципы рекомендаций видеоконтента. Это позиция участников дискуссии, а не опубликованный нормативный акт.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x:v>
      </x:c>
      <x:c r="G16" s="49" t="str">
        <x:v>https://fixtures.gs-labs.invalid/telegram/a10</x:v>
      </x:c>
      <x:c r="H16" s="1"/>
      <x:c r="I16" s="1"/>
      <x:c r="J16" s="1"/>
      <x:c r="K16" s="1"/>
      <x:c r="L16" s="1"/>
      <x:c r="M16" s="1"/>
      <x:c r="N16" s="1"/>
    </x:row>
    <x:row r="17" ht="90" customHeight="1">
      <x:c r="A17" s="49" t="str">
        <x:v>A21</x:v>
      </x:c>
      <x:c r="B17" s="77" t="n">
        <x:v>46258.34027777778</x:v>
      </x:c>
      <x:c r="C17" s="49" t="str">
        <x:v>search_api</x:v>
      </x:c>
      <x:c r="D17" s="49" t="str">
        <x:v>Web search</x:v>
      </x:c>
      <x:c r="E17" s="49" t="str">
        <x:v>CAS для автоматизации расчёта зарплат</x:v>
      </x:c>
      <x:c r="F17" s="49" t="str">
        <x:v>Университетская лаборатория показала, как Computer Algebra System сокращает время проверки формул расчёта зарплат. Авторы опубликовали учебный блокнот и набор примеров.
Контекст 1. Результат найден дополнительным поиском и отсутствует в постоянной ленте. Фрагмент может быть неполным, поэтому вывод должен опираться на доступный первичный документ и явно отмечать неизвестное.
Контекст 2. Поисковая оценка показывает близость запросу, но не является оценкой достоверности или важности для GS Labs.
Контекст 3. Дата в поисковом ответе может отсутствовать или относиться к индексации. Если время публикации критично, его нужно получать с исходной страницы.
Контекст 4. Одинаковый URL может встретиться и в постоянном источнике. Такое повторное обнаружение не является второй публикацией или дополнительным подтверждением.
Контекст 5. Фрагмент сформирован поисковой выдачей и может обрываться до важной оговорки; полный текст доступен только на исходной странице.
Контекст 6. Сходство с запросом вызвано несколькими отраслевыми терминами. Оно не гарантирует связь с цифровым телевидением или интересами компании.
Контекст 7. При недоступности полного текста сохраняются заголовок, URL, фрагмент и признак неполноты. Результат может быть отправлен на проверку, но не выпускаться как установленный факт.
Контекст 8. Поиск выполнялся в фиксированном временном окне и с замороженной формулировкой запроса. Это позволяет сравнивать fixed и hybrid без подмены условий.
Контекст 9. Несколько результатов одного домена не считаются независимыми подтверждениями, если они ведут на одну исходную публикацию.</x:v>
      </x:c>
      <x:c r="G17" s="49" t="str">
        <x:v>https://fixtures.gs-labs.invalid/search_api/a21</x:v>
      </x:c>
      <x:c r="H17" s="1"/>
      <x:c r="I17" s="1"/>
      <x:c r="J17" s="1"/>
      <x:c r="K17" s="1"/>
      <x:c r="L17" s="1"/>
      <x:c r="M17" s="1"/>
      <x:c r="N17" s="1"/>
    </x:row>
    <x:row r="18" ht="90" customHeight="1">
      <x:c r="A18" s="49" t="str">
        <x:v>A11</x:v>
      </x:c>
      <x:c r="B18" s="77" t="n">
        <x:v>46258.354166666664</x:v>
      </x:c>
      <x:c r="C18" s="49" t="str">
        <x:v>regulator_html</x:v>
      </x:c>
      <x:c r="D18" s="49" t="str">
        <x:v>Орган стандартизации</x:v>
      </x:c>
      <x:c r="E18" s="49" t="str">
        <x:v>Опубликован стандарт доступности интерфейсов Smart TV</x:v>
      </x:c>
      <x:c r="F18" s="49" t="str">
        <x:v>Орган стандартизации утвердил добровольный стандарт доступности интерфейсов Smart TV. Он содержит рекомендации по контрастности, озвучиванию меню и управлению без точных жестов. Стандарт действует с 1 января 2027 года.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x:v>
      </x:c>
      <x:c r="G18" s="49" t="str">
        <x:v>https://fixtures.gs-labs.invalid/regulator_html/a11</x:v>
      </x:c>
      <x:c r="H18" s="1"/>
      <x:c r="I18" s="1"/>
      <x:c r="J18" s="1"/>
      <x:c r="K18" s="1"/>
      <x:c r="L18" s="1"/>
      <x:c r="M18" s="1"/>
      <x:c r="N18" s="1"/>
    </x:row>
    <x:row r="19" ht="90" customHeight="1">
      <x:c r="A19" s="49" t="str">
        <x:v>A12</x:v>
      </x:c>
      <x:c r="B19" s="77" t="n">
        <x:v>46258.36388888889</x:v>
      </x:c>
      <x:c r="C19" s="49" t="str">
        <x:v>rss</x:v>
      </x:c>
      <x:c r="D19" s="49" t="str">
        <x:v>TV Technology</x:v>
      </x:c>
      <x:c r="E19" s="49" t="str">
        <x:v>Новый стандарт затронет интерфейсы телевизоров</x:v>
      </x:c>
      <x:c r="F19" s="49" t="str">
        <x:v>Утверждён стандарт доступности Smart TV: рекомендации касаются контраста и голосового сопровождения. Издание ошибочно называет применение обязательным, хотя официальный текст определяет стандарт как добровольный.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
Контекст 4. Цифры относятся к указанному этапу проекта. Потенциальный масштаб, обсуждаемый участниками рынка, не является фактическим охватом или заключённым контрактом.
Контекст 5. Обновление материала будет выпущено отдельно, если появится первичный документ. Текущая версия статьи не должна использоваться как подтверждение изменения юридического статуса.
Контекст 6. Смежные участники рынка оценивают событие по-разному. Их комментарии сохраняются как позиции конкретных спикеров, а не как установленный факт.
Контекст 7. В открытых материалах не раскрыты коммерческие условия, бюджет и внутренняя технологическая схема. Эти сведения редакция не реконструирует самостоятельно.
Контекст 8. Ссылка на источник и время обновления сохранены, чтобы отличать исходную публикацию от более поздних пересказов и исправлений.</x:v>
      </x:c>
      <x:c r="G19" s="49" t="str">
        <x:v>https://fixtures.gs-labs.invalid/rss/a12</x:v>
      </x:c>
      <x:c r="H19" s="1"/>
      <x:c r="I19" s="1"/>
      <x:c r="J19" s="1"/>
      <x:c r="K19" s="1"/>
      <x:c r="L19" s="1"/>
      <x:c r="M19" s="1"/>
      <x:c r="N19" s="1"/>
    </x:row>
    <x:row r="20" ht="90" customHeight="1">
      <x:c r="A20" s="49" t="str">
        <x:v>A13</x:v>
      </x:c>
      <x:c r="B20" s="77" t="n">
        <x:v>46258.37430555555</x:v>
      </x:c>
      <x:c r="C20" s="49" t="str">
        <x:v>telegram</x:v>
      </x:c>
      <x:c r="D20" s="49" t="str">
        <x:v>Ассоциация ТВ-платформ</x:v>
      </x:c>
      <x:c r="E20" s="49" t="str">
        <x:v>Ассоциация просит дать рынку больше времени</x:v>
      </x:c>
      <x:c r="F20" s="49" t="str">
        <x:v>Утренний отраслевой дайджест:
• Ассоциация разработчиков телевизионных платформ поддержала цели добровольного стандарта доступности, но считает срок подготовки экосистемы недостаточным. Это позиция ассоциации; официальный срок не менялся.
• Сеть кофеен открыла десять точек с электронным меню.
• Онлайн-школа запустила курс по мобильной фотографии.
• Производитель телевизоров обновил упаковку экспортной линейки без изменения программной платформы.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0" s="49" t="str">
        <x:v>https://fixtures.gs-labs.invalid/telegram/a13</x:v>
      </x:c>
      <x:c r="H20" s="1"/>
      <x:c r="I20" s="1"/>
      <x:c r="J20" s="1"/>
      <x:c r="K20" s="1"/>
      <x:c r="L20" s="1"/>
      <x:c r="M20" s="1"/>
      <x:c r="N20" s="1"/>
    </x:row>
    <x:row r="21" ht="90" customHeight="1">
      <x:c r="A21" s="49" t="str">
        <x:v>A14</x:v>
      </x:c>
      <x:c r="B21" s="77" t="n">
        <x:v>46258.40625</x:v>
      </x:c>
      <x:c r="C21" s="49" t="str">
        <x:v>corporate_html</x:v>
      </x:c>
      <x:c r="D21" s="49" t="str">
        <x:v>GS Group</x:v>
      </x:c>
      <x:c r="E21" s="49" t="str">
        <x:v>GS Group запустила пилот локального телевидения в трёх районах</x:v>
      </x:c>
      <x:c r="F21" s="49" t="str">
        <x:v>GS Group сообщила о запуске пилота локального телевидения в трёх районах Калининградской области. На первом этапе подключены 12 тысяч домохозяйств; технологическую платформу предоставляет GS Labs.
Контекст 1. Пресс-центр приводит слова представителя компании и фактические параметры объявления. Оценки масштаба и будущие планы отделены от уже выполненных действий.
Контекст 2. Материал предназначен для публичного распространения; технические детали и коммерческие условия, не указанные в тексте, считать подтверждёнными нельзя.
Контекст 3. В справочном блоке описана специализация участников, но не раскрываются доли, стоимость работ и обязательства после пилотного этапа.
Контекст 4. Цитата руководителя относится к цели проекта. Она не является измеренным результатом и не подтверждает достижение будущих показателей.
Контекст 5. Контакт для СМИ указан для уточнений. Отсутствующие в релизе ответы нельзя заменять предположениями о стратегии или внутренних планах.
Контекст 6. Фотографии и демонстрационные материалы иллюстрируют объявление, но не расширяют заявленный масштаб внедрения.
Контекст 7. Дата релиза отражает момент публичного сообщения. Фактическое начало пилота или программы приводится отдельно, если оно известно.
Контекст 8. Следующие этапы сформулированы как намерения и зависят от результатов текущего этапа. Их нельзя описывать как уже принятые решения.
Контекст 9. Справка о компаниях описывает их профиль на дату релиза и не подтверждает эксклюзивность партнёрства.
Контекст 10. Если в публикации приведён диапазон или верхняя граница, итоговая карточка не должна превращать его в фактически достигнутое значение.</x:v>
      </x:c>
      <x:c r="G21" s="49" t="str">
        <x:v>https://fixtures.gs-labs.invalid/corporate_html/a14</x:v>
      </x:c>
      <x:c r="H21" s="1"/>
      <x:c r="I21" s="1"/>
      <x:c r="J21" s="1"/>
      <x:c r="K21" s="1"/>
      <x:c r="L21" s="1"/>
      <x:c r="M21" s="1"/>
      <x:c r="N21" s="1"/>
    </x:row>
    <x:row r="22" ht="90" customHeight="1">
      <x:c r="A22" s="49" t="str">
        <x:v>A15</x:v>
      </x:c>
      <x:c r="B22" s="77" t="n">
        <x:v>46258.41805555556</x:v>
      </x:c>
      <x:c r="C22" s="49" t="str">
        <x:v>rss</x:v>
      </x:c>
      <x:c r="D22" s="49" t="str">
        <x:v>Калининград Online</x:v>
      </x:c>
      <x:c r="E22" s="49" t="str">
        <x:v>Локальное телевидение GS Group охватит до 20 тысяч семей</x:v>
      </x:c>
      <x:c r="F22" s="49" t="str">
        <x:v>Региональное издание пишет, что пилот уже доступен 12 тысячам домохозяйств, а потенциальный охват после расширения может составить 20 тысяч. Расширение пока не подтверждено как завершённое.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22" s="49" t="str">
        <x:v>https://fixtures.gs-labs.invalid/rss/a15</x:v>
      </x:c>
      <x:c r="H22" s="1"/>
      <x:c r="I22" s="1"/>
      <x:c r="J22" s="1"/>
      <x:c r="K22" s="1"/>
      <x:c r="L22" s="1"/>
      <x:c r="M22" s="1"/>
      <x:c r="N22" s="1"/>
    </x:row>
    <x:row r="23" ht="90" customHeight="1">
      <x:c r="A23" s="49" t="str">
        <x:v>A16</x:v>
      </x:c>
      <x:c r="B23" s="77" t="n">
        <x:v>46258.4375</x:v>
      </x:c>
      <x:c r="C23" s="49" t="str">
        <x:v>telegram</x:v>
      </x:c>
      <x:c r="D23" s="49" t="str">
        <x:v>Media Experts</x:v>
      </x:c>
      <x:c r="E23" s="49" t="str">
        <x:v>Эксперт: локальные каналы потребуют устойчивой модели контента</x:v>
      </x:c>
      <x:c r="F23" s="49" t="str">
        <x:v>Медиаэксперт назвал технологическую часть пилота убедительной, но предупредил, что масштабирование зависит от экономики локального контента. Это оценка эксперта, а не результат пилота.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x:v>
      </x:c>
      <x:c r="G23" s="49" t="str">
        <x:v>https://fixtures.gs-labs.invalid/telegram/a16</x:v>
      </x:c>
      <x:c r="H23" s="1"/>
      <x:c r="I23" s="1"/>
      <x:c r="J23" s="1"/>
      <x:c r="K23" s="1"/>
      <x:c r="L23" s="1"/>
      <x:c r="M23" s="1"/>
      <x:c r="N23" s="1"/>
    </x:row>
    <x:row r="24" ht="90" customHeight="1">
      <x:c r="A24" s="49" t="str">
        <x:v>A22</x:v>
      </x:c>
      <x:c r="B24" s="77" t="n">
        <x:v>46258.46527777778</x:v>
      </x:c>
      <x:c r="C24" s="49" t="str">
        <x:v>telegram</x:v>
      </x:c>
      <x:c r="D24" s="49" t="str">
        <x:v>Телеком-наблюдатель</x:v>
      </x:c>
      <x:c r="E24" s="49" t="str">
        <x:v>Обзор приставок 2022 года снова появился в выдаче</x:v>
      </x:c>
      <x:c r="F24" s="49" t="str">
        <x:v>Архивный обзор от ноября 2022 года сравнивает четыре модели Android-приставок по памяти, набору разъёмов и цене на момент публикации. Две модели позже были сняты с производства.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4" s="49" t="str">
        <x:v>https://fixtures.gs-labs.invalid/telegram/a22</x:v>
      </x:c>
      <x:c r="H24" s="1"/>
      <x:c r="I24" s="1"/>
      <x:c r="J24" s="1"/>
      <x:c r="K24" s="1"/>
      <x:c r="L24" s="1"/>
      <x:c r="M24" s="1"/>
      <x:c r="N24" s="1"/>
    </x:row>
    <x:row r="25" ht="90" customHeight="1">
      <x:c r="A25" s="49" t="str">
        <x:v>A18</x:v>
      </x:c>
      <x:c r="B25" s="77" t="n">
        <x:v>46258.50069444445</x:v>
      </x:c>
      <x:c r="C25" s="49" t="str">
        <x:v>regulator_html</x:v>
      </x:c>
      <x:c r="D25" s="49" t="str">
        <x:v>Парламентский портал</x:v>
      </x:c>
      <x:c r="E25" s="49" t="str">
        <x:v>Проект 26-041 внесён в парламент с изменённой датой применения</x:v>
      </x:c>
      <x:c r="F25" s="49" t="str">
        <x:v>Проект 26-041 внесён в парламент. В новой редакции применение предлагается с 1 сентября 2027 года вместо 1 марта 2027 года. Требование по-прежнему касается новых телевизионных устройств.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
Раздел 8. История версий позволяет восстановить добавленные, исключённые и изменённые положения. Новый URL карточки сам по себе не доказывает появление нового независимого проекта.
Раздел 9. В разделе статуса отдельно указываются этап, дата события и основание изменения. Только это поле показывает, продолжается ли процедура, завершена она или прекращена.
Раздел 10. Перечень приложений может включать текст, сравнительную таблицу, финансовое обоснование и протокол. Отсутствующий файл не следует реконструировать по названию.
Раздел 11. Контрольная информация предназначена для проверки происхождения: идентификатор карточки, время обновления и орган-разработчик сохраняются без нормализации смысла.
Раздел 12. Раздел уведомлений фиксирует только действия на портале. Уведомление о размещении редакции не равно уведомлению о вступлении требований в силу.
Раздел 13. Если вторичная публикация противоречит карточке, её можно сохранить как отдельную позицию или риск коммуникации, но нельзя ею перезаписывать официальный статус.
Раздел 14. Предметная применимость определяется по определениям и области действия документа. Название технологии или отрасли в тексте ещё не доказывает влияние на конкретный продукт GS Labs.
Раздел 15. Архивная версия остаётся доступной для сравнения. Текущая редакция и перечень существенных изменений относительно прошлой опубликованы раздельно.
Раздел 16. Поля карточки могут обновляться не одновременно: дата страницы, дата документа и дата события различаются и приводятся в отдельных реквизитах.
Раздел 17. Решение о прекращении, возврате или доработке не стирает прежнюю историю. Оно добавляется как новое состояние долгоживущего объекта НПА.
Раздел 18. Сводные сведения процедуры включают идентификатор объекта, текущий этап, актуальную редакцию и перечень внесённых изменений.
Раздел 19. Сведения об ответственном подразделении помогают отличить официальный документ от материалов с похожим названием, выпущенных другим органом.
Раздел 20. Версия основного файла фиксируется вместе с контрольной суммой и датой загрузки. Замена вложения без изменения заголовка карточки всё равно считается новой редакцией.
Раздел 21. Таблица разногласий показывает, какие предложения учтены, отклонены или требуют дополнительного согласования. Она не меняет текст до публикации новой редакции.
Раздел 22. Поле предполагаемой даты применения заполняется разработчиком и может измениться на следующем этапе. Оно не тождественно дате принятия или публикации.</x:v>
      </x:c>
      <x:c r="G25" s="49" t="str">
        <x:v>https://fixtures.gs-labs.invalid/regulator_html/a18</x:v>
      </x:c>
      <x:c r="H25" s="1"/>
      <x:c r="I25" s="1"/>
      <x:c r="J25" s="1"/>
      <x:c r="K25" s="1"/>
      <x:c r="L25" s="1"/>
      <x:c r="M25" s="1"/>
      <x:c r="N25" s="1"/>
    </x:row>
    <x:row r="26" ht="90" customHeight="1">
      <x:c r="A26" s="52" t="str">
        <x:v>A19</x:v>
      </x:c>
      <x:c r="B26" s="78" t="n">
        <x:v>46258.524305555555</x:v>
      </x:c>
      <x:c r="C26" s="52" t="str">
        <x:v>telegram</x:v>
      </x:c>
      <x:c r="D26" s="52" t="str">
        <x:v>Регуляторика сегодня</x:v>
      </x:c>
      <x:c r="E26" s="52" t="str">
        <x:v>Предустановка медиаприложений станет обязательной весной</x:v>
      </x:c>
      <x:c r="F26" s="52" t="str">
        <x:v>Канал повторяет раннюю версию проекта 26-041 и утверждает, что правила начнут действовать 1 марта 2027 года. Официальная внесённая редакция уже содержит дату 1 сентября 2027 года.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6" s="52" t="str">
        <x:v>https://fixtures.gs-labs.invalid/telegram/a19</x:v>
      </x:c>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G1"/>
    <x:mergeCell ref="A2:G2"/>
    <x:mergeCell ref="I1:N1"/>
  </x:mergeCells>
  <x:pageMargins left="0.7" right="0.7" top="0.75" bottom="0.75" header="0.3" footer="0.3"/>
</x:worksheet>
</file>

<file path=xl/worksheets/sheet4.xml><?xml version="1.0" encoding="utf-8"?>
<x:worksheet xmlns:x="http://schemas.openxmlformats.org/spreadsheetml/2006/main">
  <x:sheetPr>
    <x:tabColor rgb="FF2563EB"/>
  </x:sheetPr>
  <x:sheetViews>
    <x:sheetView showGridLines="0" workbookViewId="0">
      <x:pane xSplit="2" ySplit="4" topLeftCell="C5" activePane="bottomRight" state="frozen"/>
    </x:sheetView>
  </x:sheetViews>
  <x:sheetFormatPr defaultRowHeight="15"/>
  <x:cols>
    <x:col min="1" max="1" width="10" hidden="0" customWidth="1"/>
    <x:col min="2" max="2" width="42" hidden="0" customWidth="1"/>
    <x:col min="3" max="3" width="18" hidden="0" customWidth="1"/>
    <x:col min="4" max="4" width="18" hidden="0" customWidth="1"/>
    <x:col min="5" max="5" width="18" hidden="0" customWidth="1"/>
    <x:col min="6" max="6" width="20" hidden="0" customWidth="1"/>
    <x:col min="7" max="7" width="13" hidden="0" customWidth="1"/>
    <x:col min="8" max="8" width="42" hidden="0" customWidth="1"/>
    <x:col min="9" max="9" width="42" hidden="0" customWidth="1"/>
    <x:col min="11" max="11" width="20" hidden="0" customWidth="1"/>
    <x:col min="12" max="12" width="20" hidden="0" customWidth="1"/>
  </x:cols>
  <x:sheetData>
    <x:row r="1" ht="28" customHeight="1">
      <x:c r="A1" s="22" t="str">
        <x:v>Поток A: решение специалиста</x:v>
      </x:c>
      <x:c r="B1" s="1"/>
      <x:c r="C1" s="1"/>
      <x:c r="D1" s="1"/>
      <x:c r="E1" s="1"/>
      <x:c r="F1" s="1"/>
      <x:c r="G1" s="1"/>
      <x:c r="H1" s="1"/>
      <x:c r="I1" s="1"/>
      <x:c r="J1" s="1"/>
      <x:c r="K1" s="1"/>
      <x:c r="L1" s="1"/>
      <x:c r="M1" s="1"/>
      <x:c r="N1" s="1"/>
    </x:row>
    <x:row r="2">
      <x:c r="A2" s="57" t="str">
        <x:v>Жёлтые столбцы заполняет участник. Один ID события ставьте всем публикациям одной истории.</x:v>
      </x:c>
      <x:c r="B2" s="1"/>
      <x:c r="C2" s="1"/>
      <x:c r="D2" s="1"/>
      <x:c r="E2" s="1"/>
      <x:c r="F2" s="1"/>
      <x:c r="G2" s="1"/>
      <x:c r="H2" s="1"/>
      <x:c r="I2" s="1"/>
      <x:c r="J2" s="1"/>
      <x:c r="K2" s="1"/>
      <x:c r="L2" s="1"/>
      <x:c r="M2" s="1"/>
      <x:c r="N2" s="1"/>
    </x:row>
    <x:row r="3">
      <x:c r="A3" s="1"/>
      <x:c r="B3" s="1"/>
      <x:c r="C3" s="1"/>
      <x:c r="D3" s="1"/>
      <x:c r="E3" s="1"/>
      <x:c r="F3" s="1"/>
      <x:c r="G3" s="1"/>
      <x:c r="H3" s="1"/>
      <x:c r="I3" s="1"/>
      <x:c r="J3" s="1"/>
      <x:c r="K3" s="12" t="str">
        <x:v>Заполнение</x:v>
      </x:c>
      <x:c r="L3" s="13" t="str">
        <x:v>Значение</x:v>
      </x:c>
      <x:c r="M3" s="1"/>
      <x:c r="N3" s="1"/>
    </x:row>
    <x:row r="4">
      <x:c r="A4" s="66" t="str">
        <x:v>ID</x:v>
      </x:c>
      <x:c r="B4" s="67" t="str">
        <x:v>Заголовок</x:v>
      </x:c>
      <x:c r="C4" s="67" t="str">
        <x:v>Релевантность</x:v>
      </x:c>
      <x:c r="D4" s="67" t="str">
        <x:v>Важность</x:v>
      </x:c>
      <x:c r="E4" s="67" t="str">
        <x:v>Получатель</x:v>
      </x:c>
      <x:c r="F4" s="67" t="str">
        <x:v>Событие / НПА</x:v>
      </x:c>
      <x:c r="G4" s="67" t="str">
        <x:v>В выпуск</x:v>
      </x:c>
      <x:c r="H4" s="67" t="str">
        <x:v>Краткий вывод</x:v>
      </x:c>
      <x:c r="I4" s="68" t="str">
        <x:v>Что проверить</x:v>
      </x:c>
      <x:c r="J4" s="1"/>
      <x:c r="K4" s="1" t="str">
        <x:v>Материалов</x:v>
      </x:c>
      <x:c r="L4" s="1" t="n">
        <x:v>22</x:v>
      </x:c>
      <x:c r="M4" s="1"/>
      <x:c r="N4" s="1"/>
    </x:row>
    <x:row r="5" ht="56" customHeight="1">
      <x:c r="A5" s="46" t="str">
        <x:v>A01</x:v>
      </x:c>
      <x:c r="B5" s="46" t="str">
        <x:v>Ритейлер тестирует электронные ценники</x:v>
      </x:c>
      <x:c r="C5" s="47" t="str"/>
      <x:c r="D5" s="47" t="str"/>
      <x:c r="E5" s="47" t="str"/>
      <x:c r="F5" s="47" t="str"/>
      <x:c r="G5" s="47" t="str"/>
      <x:c r="H5" s="47" t="str"/>
      <x:c r="I5" s="47" t="str"/>
      <x:c r="J5" s="1"/>
      <x:c r="K5" s="1" t="str">
        <x:v>Классифицировано</x:v>
      </x:c>
      <x:c r="L5" s="1" t="n">
        <x:f>COUNTIF(C5:C26,"?*")</x:f>
        <x:v>0</x:v>
      </x:c>
      <x:c r="M5" s="1"/>
      <x:c r="N5" s="1"/>
    </x:row>
    <x:row r="6" ht="56" customHeight="1">
      <x:c r="A6" s="49" t="str">
        <x:v>A02</x:v>
      </x:c>
      <x:c r="B6" s="49" t="str">
        <x:v>Нейросеть выбирает музыку для кафе</x:v>
      </x:c>
      <x:c r="C6" s="50" t="str"/>
      <x:c r="D6" s="50" t="str"/>
      <x:c r="E6" s="50" t="str"/>
      <x:c r="F6" s="50" t="str"/>
      <x:c r="G6" s="50" t="str"/>
      <x:c r="H6" s="50" t="str"/>
      <x:c r="I6" s="50" t="str"/>
      <x:c r="J6" s="1"/>
      <x:c r="K6" s="1" t="str">
        <x:v>В выпуск</x:v>
      </x:c>
      <x:c r="L6" s="1" t="n">
        <x:f>COUNTIF(G5:G26,"да")</x:f>
        <x:v>0</x:v>
      </x:c>
      <x:c r="M6" s="1"/>
      <x:c r="N6" s="1"/>
    </x:row>
    <x:row r="7" ht="56" customHeight="1">
      <x:c r="A7" s="49" t="str">
        <x:v>A07</x:v>
      </x:c>
      <x:c r="B7" s="49" t="str">
        <x:v>Проект требований к защищённой загрузке абонентских устройств</x:v>
      </x:c>
      <x:c r="C7" s="50" t="str"/>
      <x:c r="D7" s="50" t="str"/>
      <x:c r="E7" s="50" t="str"/>
      <x:c r="F7" s="50" t="str"/>
      <x:c r="G7" s="50" t="str"/>
      <x:c r="H7" s="50" t="str"/>
      <x:c r="I7" s="50" t="str"/>
      <x:c r="J7" s="1"/>
      <x:c r="K7" s="1"/>
      <x:c r="L7" s="1"/>
      <x:c r="M7" s="1"/>
      <x:c r="N7" s="1"/>
    </x:row>
    <x:row r="8" ht="56" customHeight="1">
      <x:c r="A8" s="49" t="str">
        <x:v>A03</x:v>
      </x:c>
      <x:c r="B8" s="49" t="str">
        <x:v>Завод упаковки расширил линию</x:v>
      </x:c>
      <x:c r="C8" s="50" t="str"/>
      <x:c r="D8" s="50" t="str"/>
      <x:c r="E8" s="50" t="str"/>
      <x:c r="F8" s="50" t="str"/>
      <x:c r="G8" s="50" t="str"/>
      <x:c r="H8" s="50" t="str"/>
      <x:c r="I8" s="50" t="str"/>
      <x:c r="J8" s="1"/>
      <x:c r="K8" s="1"/>
      <x:c r="L8" s="1"/>
      <x:c r="M8" s="1"/>
      <x:c r="N8" s="1"/>
    </x:row>
    <x:row r="9" ht="56" customHeight="1">
      <x:c r="A9" s="49" t="str">
        <x:v>A04</x:v>
      </x:c>
      <x:c r="B9" s="49" t="str">
        <x:v>Онлайн-кинотеатр обновил каталог сериалов</x:v>
      </x:c>
      <x:c r="C9" s="50" t="str"/>
      <x:c r="D9" s="50" t="str"/>
      <x:c r="E9" s="50" t="str"/>
      <x:c r="F9" s="50" t="str"/>
      <x:c r="G9" s="50" t="str"/>
      <x:c r="H9" s="50" t="str"/>
      <x:c r="I9" s="50" t="str"/>
      <x:c r="J9" s="1"/>
      <x:c r="K9" s="1"/>
      <x:c r="L9" s="1"/>
      <x:c r="M9" s="1"/>
      <x:c r="N9" s="1"/>
    </x:row>
    <x:row r="10" ht="56" customHeight="1">
      <x:c r="A10" s="49" t="str">
        <x:v>A17</x:v>
      </x:c>
      <x:c r="B10" s="49" t="str">
        <x:v>Обсуждение проекта 26-041 о предустановке медиаприложений</x:v>
      </x:c>
      <x:c r="C10" s="50" t="str"/>
      <x:c r="D10" s="50" t="str"/>
      <x:c r="E10" s="50" t="str"/>
      <x:c r="F10" s="50" t="str"/>
      <x:c r="G10" s="50" t="str"/>
      <x:c r="H10" s="50" t="str"/>
      <x:c r="I10" s="50" t="str"/>
      <x:c r="J10" s="1"/>
      <x:c r="K10" s="1"/>
      <x:c r="L10" s="1"/>
      <x:c r="M10" s="1"/>
      <x:c r="N10" s="1"/>
    </x:row>
    <x:row r="11" ht="56" customHeight="1">
      <x:c r="A11" s="49" t="str">
        <x:v>A08</x:v>
      </x:c>
      <x:c r="B11" s="49" t="str">
        <x:v>GS Labs открыла набор в программу для разработчиков приложений</x:v>
      </x:c>
      <x:c r="C11" s="50" t="str"/>
      <x:c r="D11" s="50" t="str"/>
      <x:c r="E11" s="50" t="str"/>
      <x:c r="F11" s="50" t="str"/>
      <x:c r="G11" s="50" t="str"/>
      <x:c r="H11" s="50" t="str"/>
      <x:c r="I11" s="50" t="str"/>
      <x:c r="J11" s="1"/>
      <x:c r="K11" s="1"/>
      <x:c r="L11" s="1"/>
      <x:c r="M11" s="1"/>
      <x:c r="N11" s="1"/>
    </x:row>
    <x:row r="12" ht="56" customHeight="1">
      <x:c r="A12" s="49" t="str">
        <x:v>A05</x:v>
      </x:c>
      <x:c r="B12" s="49" t="str">
        <x:v>Банк открыл школу аналитиков</x:v>
      </x:c>
      <x:c r="C12" s="50" t="str"/>
      <x:c r="D12" s="50" t="str"/>
      <x:c r="E12" s="50" t="str"/>
      <x:c r="F12" s="50" t="str"/>
      <x:c r="G12" s="50" t="str"/>
      <x:c r="H12" s="50" t="str"/>
      <x:c r="I12" s="50" t="str"/>
      <x:c r="J12" s="1"/>
      <x:c r="K12" s="1"/>
      <x:c r="L12" s="1"/>
      <x:c r="M12" s="1"/>
      <x:c r="N12" s="1"/>
    </x:row>
    <x:row r="13" ht="56" customHeight="1">
      <x:c r="A13" s="49" t="str">
        <x:v>A06</x:v>
      </x:c>
      <x:c r="B13" s="49" t="str">
        <x:v>Рынок умных кормушек вырос за квартал</x:v>
      </x:c>
      <x:c r="C13" s="50" t="str"/>
      <x:c r="D13" s="50" t="str"/>
      <x:c r="E13" s="50" t="str"/>
      <x:c r="F13" s="50" t="str"/>
      <x:c r="G13" s="50" t="str"/>
      <x:c r="H13" s="50" t="str"/>
      <x:c r="I13" s="50" t="str"/>
      <x:c r="J13" s="1"/>
      <x:c r="K13" s="1"/>
      <x:c r="L13" s="1"/>
      <x:c r="M13" s="1"/>
      <x:c r="N13" s="1"/>
    </x:row>
    <x:row r="14" ht="56" customHeight="1">
      <x:c r="A14" s="49" t="str">
        <x:v>A09</x:v>
      </x:c>
      <x:c r="B14" s="49" t="str">
        <x:v>Региональный оператор объявил конкурс на телевизионную платформу</x:v>
      </x:c>
      <x:c r="C14" s="50" t="str"/>
      <x:c r="D14" s="50" t="str"/>
      <x:c r="E14" s="50" t="str"/>
      <x:c r="F14" s="50" t="str"/>
      <x:c r="G14" s="50" t="str"/>
      <x:c r="H14" s="50" t="str"/>
      <x:c r="I14" s="50" t="str"/>
      <x:c r="J14" s="1"/>
      <x:c r="K14" s="1"/>
      <x:c r="L14" s="1"/>
      <x:c r="M14" s="1"/>
      <x:c r="N14" s="1"/>
    </x:row>
    <x:row r="15" ht="56" customHeight="1">
      <x:c r="A15" s="49" t="str">
        <x:v>A20</x:v>
      </x:c>
      <x:c r="B15" s="49" t="str">
        <x:v>Техзадание муниципальной сети требует совместимости с двумя CAS</x:v>
      </x:c>
      <x:c r="C15" s="50" t="str"/>
      <x:c r="D15" s="50" t="str"/>
      <x:c r="E15" s="50" t="str"/>
      <x:c r="F15" s="50" t="str"/>
      <x:c r="G15" s="50" t="str"/>
      <x:c r="H15" s="50" t="str"/>
      <x:c r="I15" s="50" t="str"/>
      <x:c r="J15" s="1"/>
      <x:c r="K15" s="1"/>
      <x:c r="L15" s="1"/>
      <x:c r="M15" s="1"/>
      <x:c r="N15" s="1"/>
    </x:row>
    <x:row r="16" ht="56" customHeight="1">
      <x:c r="A16" s="49" t="str">
        <x:v>A10</x:v>
      </x:c>
      <x:c r="B16" s="49" t="str">
        <x:v>Эксперты обсудили прозрачность рекомендательных систем</x:v>
      </x:c>
      <x:c r="C16" s="50" t="str"/>
      <x:c r="D16" s="50" t="str"/>
      <x:c r="E16" s="50" t="str"/>
      <x:c r="F16" s="50" t="str"/>
      <x:c r="G16" s="50" t="str"/>
      <x:c r="H16" s="50" t="str"/>
      <x:c r="I16" s="50" t="str"/>
      <x:c r="J16" s="1"/>
      <x:c r="K16" s="1"/>
      <x:c r="L16" s="1"/>
      <x:c r="M16" s="1"/>
      <x:c r="N16" s="1"/>
    </x:row>
    <x:row r="17" ht="56" customHeight="1">
      <x:c r="A17" s="49" t="str">
        <x:v>A21</x:v>
      </x:c>
      <x:c r="B17" s="49" t="str">
        <x:v>CAS для автоматизации расчёта зарплат</x:v>
      </x:c>
      <x:c r="C17" s="50" t="str"/>
      <x:c r="D17" s="50" t="str"/>
      <x:c r="E17" s="50" t="str"/>
      <x:c r="F17" s="50" t="str"/>
      <x:c r="G17" s="50" t="str"/>
      <x:c r="H17" s="50" t="str"/>
      <x:c r="I17" s="50" t="str"/>
      <x:c r="J17" s="1"/>
      <x:c r="K17" s="1"/>
      <x:c r="L17" s="1"/>
      <x:c r="M17" s="1"/>
      <x:c r="N17" s="1"/>
    </x:row>
    <x:row r="18" ht="56" customHeight="1">
      <x:c r="A18" s="49" t="str">
        <x:v>A11</x:v>
      </x:c>
      <x:c r="B18" s="49" t="str">
        <x:v>Опубликован стандарт доступности интерфейсов Smart TV</x:v>
      </x:c>
      <x:c r="C18" s="50" t="str"/>
      <x:c r="D18" s="50" t="str"/>
      <x:c r="E18" s="50" t="str"/>
      <x:c r="F18" s="50" t="str"/>
      <x:c r="G18" s="50" t="str"/>
      <x:c r="H18" s="50" t="str"/>
      <x:c r="I18" s="50" t="str"/>
      <x:c r="J18" s="1"/>
      <x:c r="K18" s="1"/>
      <x:c r="L18" s="1"/>
      <x:c r="M18" s="1"/>
      <x:c r="N18" s="1"/>
    </x:row>
    <x:row r="19" ht="56" customHeight="1">
      <x:c r="A19" s="49" t="str">
        <x:v>A12</x:v>
      </x:c>
      <x:c r="B19" s="49" t="str">
        <x:v>Новый стандарт затронет интерфейсы телевизоров</x:v>
      </x:c>
      <x:c r="C19" s="50" t="str"/>
      <x:c r="D19" s="50" t="str"/>
      <x:c r="E19" s="50" t="str"/>
      <x:c r="F19" s="50" t="str"/>
      <x:c r="G19" s="50" t="str"/>
      <x:c r="H19" s="50" t="str"/>
      <x:c r="I19" s="50" t="str"/>
      <x:c r="J19" s="1"/>
      <x:c r="K19" s="1"/>
      <x:c r="L19" s="1"/>
      <x:c r="M19" s="1"/>
      <x:c r="N19" s="1"/>
    </x:row>
    <x:row r="20" ht="56" customHeight="1">
      <x:c r="A20" s="49" t="str">
        <x:v>A13</x:v>
      </x:c>
      <x:c r="B20" s="49" t="str">
        <x:v>Ассоциация просит дать рынку больше времени</x:v>
      </x:c>
      <x:c r="C20" s="50" t="str"/>
      <x:c r="D20" s="50" t="str"/>
      <x:c r="E20" s="50" t="str"/>
      <x:c r="F20" s="50" t="str"/>
      <x:c r="G20" s="50" t="str"/>
      <x:c r="H20" s="50" t="str"/>
      <x:c r="I20" s="50" t="str"/>
      <x:c r="J20" s="1"/>
      <x:c r="K20" s="1"/>
      <x:c r="L20" s="1"/>
      <x:c r="M20" s="1"/>
      <x:c r="N20" s="1"/>
    </x:row>
    <x:row r="21" ht="56" customHeight="1">
      <x:c r="A21" s="49" t="str">
        <x:v>A14</x:v>
      </x:c>
      <x:c r="B21" s="49" t="str">
        <x:v>GS Group запустила пилот локального телевидения в трёх районах</x:v>
      </x:c>
      <x:c r="C21" s="50" t="str"/>
      <x:c r="D21" s="50" t="str"/>
      <x:c r="E21" s="50" t="str"/>
      <x:c r="F21" s="50" t="str"/>
      <x:c r="G21" s="50" t="str"/>
      <x:c r="H21" s="50" t="str"/>
      <x:c r="I21" s="50" t="str"/>
      <x:c r="J21" s="1"/>
      <x:c r="K21" s="1"/>
      <x:c r="L21" s="1"/>
      <x:c r="M21" s="1"/>
      <x:c r="N21" s="1"/>
    </x:row>
    <x:row r="22" ht="56" customHeight="1">
      <x:c r="A22" s="49" t="str">
        <x:v>A15</x:v>
      </x:c>
      <x:c r="B22" s="49" t="str">
        <x:v>Локальное телевидение GS Group охватит до 20 тысяч семей</x:v>
      </x:c>
      <x:c r="C22" s="50" t="str"/>
      <x:c r="D22" s="50" t="str"/>
      <x:c r="E22" s="50" t="str"/>
      <x:c r="F22" s="50" t="str"/>
      <x:c r="G22" s="50" t="str"/>
      <x:c r="H22" s="50" t="str"/>
      <x:c r="I22" s="50" t="str"/>
      <x:c r="J22" s="1"/>
      <x:c r="K22" s="1"/>
      <x:c r="L22" s="1"/>
      <x:c r="M22" s="1"/>
      <x:c r="N22" s="1"/>
    </x:row>
    <x:row r="23" ht="56" customHeight="1">
      <x:c r="A23" s="49" t="str">
        <x:v>A16</x:v>
      </x:c>
      <x:c r="B23" s="49" t="str">
        <x:v>Эксперт: локальные каналы потребуют устойчивой модели контента</x:v>
      </x:c>
      <x:c r="C23" s="50" t="str"/>
      <x:c r="D23" s="50" t="str"/>
      <x:c r="E23" s="50" t="str"/>
      <x:c r="F23" s="50" t="str"/>
      <x:c r="G23" s="50" t="str"/>
      <x:c r="H23" s="50" t="str"/>
      <x:c r="I23" s="50" t="str"/>
      <x:c r="J23" s="1"/>
      <x:c r="K23" s="1"/>
      <x:c r="L23" s="1"/>
      <x:c r="M23" s="1"/>
      <x:c r="N23" s="1"/>
    </x:row>
    <x:row r="24" ht="56" customHeight="1">
      <x:c r="A24" s="49" t="str">
        <x:v>A22</x:v>
      </x:c>
      <x:c r="B24" s="49" t="str">
        <x:v>Обзор приставок 2022 года снова появился в выдаче</x:v>
      </x:c>
      <x:c r="C24" s="50" t="str"/>
      <x:c r="D24" s="50" t="str"/>
      <x:c r="E24" s="50" t="str"/>
      <x:c r="F24" s="50" t="str"/>
      <x:c r="G24" s="50" t="str"/>
      <x:c r="H24" s="50" t="str"/>
      <x:c r="I24" s="50" t="str"/>
      <x:c r="J24" s="1"/>
      <x:c r="K24" s="1"/>
      <x:c r="L24" s="1"/>
      <x:c r="M24" s="1"/>
      <x:c r="N24" s="1"/>
    </x:row>
    <x:row r="25" ht="56" customHeight="1">
      <x:c r="A25" s="49" t="str">
        <x:v>A18</x:v>
      </x:c>
      <x:c r="B25" s="49" t="str">
        <x:v>Проект 26-041 внесён в парламент с изменённой датой применения</x:v>
      </x:c>
      <x:c r="C25" s="50" t="str"/>
      <x:c r="D25" s="50" t="str"/>
      <x:c r="E25" s="50" t="str"/>
      <x:c r="F25" s="50" t="str"/>
      <x:c r="G25" s="50" t="str"/>
      <x:c r="H25" s="50" t="str"/>
      <x:c r="I25" s="50" t="str"/>
      <x:c r="J25" s="1"/>
      <x:c r="K25" s="1"/>
      <x:c r="L25" s="1"/>
      <x:c r="M25" s="1"/>
      <x:c r="N25" s="1"/>
    </x:row>
    <x:row r="26" ht="56" customHeight="1">
      <x:c r="A26" s="52" t="str">
        <x:v>A19</x:v>
      </x:c>
      <x:c r="B26" s="52" t="str">
        <x:v>Предустановка медиаприложений станет обязательной весной</x:v>
      </x:c>
      <x:c r="C26" s="53" t="str"/>
      <x:c r="D26" s="53" t="str"/>
      <x:c r="E26" s="53" t="str"/>
      <x:c r="F26" s="53" t="str"/>
      <x:c r="G26" s="53" t="str"/>
      <x:c r="H26" s="53" t="str"/>
      <x:c r="I26" s="53" t="str"/>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I1"/>
    <x:mergeCell ref="A2:I2"/>
  </x:mergeCells>
  <x:dataValidations count="4">
    <x:dataValidation type="list" sqref="C5:C26">
      <x:formula1>"релевантно,погранично,нерелевантно"</x:formula1>
    </x:dataValidation>
    <x:dataValidation type="list" sqref="D5:D26">
      <x:formula1>"low,medium,high,critical"</x:formula1>
    </x:dataValidation>
    <x:dataValidation type="list" sqref="E5:E26">
      <x:formula1>"PR,GR,BOTH,HEAD,NONE"</x:formula1>
    </x:dataValidation>
    <x:dataValidation type="list" sqref="G5:G26">
      <x:formula1>"да,нет"</x:formula1>
    </x:dataValidation>
  </x:dataValidations>
  <x:pageMargins left="0.7" right="0.7" top="0.75" bottom="0.75" header="0.3" footer="0.3"/>
</x:worksheet>
</file>

<file path=xl/worksheets/sheet5.xml><?xml version="1.0" encoding="utf-8"?>
<x:worksheet xmlns:x="http://schemas.openxmlformats.org/spreadsheetml/2006/main">
  <x:sheetPr>
    <x:tabColor rgb="FF15803D"/>
  </x:sheetPr>
  <x:sheetViews>
    <x:sheetView showGridLines="0" workbookViewId="0">
      <x:pane ySplit="4" topLeftCell="A5" activePane="bottomLeft" state="frozen"/>
    </x:sheetView>
  </x:sheetViews>
  <x:sheetFormatPr defaultRowHeight="15"/>
  <x:cols>
    <x:col min="1" max="1" width="10" hidden="0" customWidth="1"/>
    <x:col min="2" max="2" width="19" hidden="0" customWidth="1"/>
    <x:col min="3" max="3" width="17" hidden="0" customWidth="1"/>
    <x:col min="4" max="4" width="23" hidden="0" customWidth="1"/>
    <x:col min="5" max="5" width="42" hidden="0" customWidth="1"/>
    <x:col min="6" max="6" width="78" hidden="0" customWidth="1"/>
    <x:col min="7" max="7" width="36"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s>
  <x:sheetData>
    <x:row r="1" ht="28" customHeight="1">
      <x:c r="A1" s="22" t="str">
        <x:v>Поток B: входные материалы</x:v>
      </x:c>
      <x:c r="B1" s="1"/>
      <x:c r="C1" s="1"/>
      <x:c r="D1" s="1"/>
      <x:c r="E1" s="1"/>
      <x:c r="F1" s="1"/>
      <x:c r="G1" s="1"/>
      <x:c r="H1" s="1"/>
      <x:c r="I1" s="79" t="str">
        <x:v>Стартовое состояние</x:v>
      </x:c>
      <x:c r="J1" s="1"/>
      <x:c r="K1" s="1"/>
      <x:c r="L1" s="1"/>
      <x:c r="M1" s="1"/>
      <x:c r="N1" s="1"/>
    </x:row>
    <x:row r="2">
      <x:c r="A2" s="84" t="str">
        <x:v>Читайте по времени появления. Не открывайте лист другого потока до завершения этого режима.</x:v>
      </x:c>
      <x:c r="B2" s="1"/>
      <x:c r="C2" s="1"/>
      <x:c r="D2" s="1"/>
      <x:c r="E2" s="1"/>
      <x:c r="F2" s="1"/>
      <x:c r="G2" s="1"/>
      <x:c r="H2" s="1"/>
      <x:c r="I2" s="1"/>
      <x:c r="J2" s="1"/>
      <x:c r="K2" s="1"/>
      <x:c r="L2" s="1"/>
      <x:c r="M2" s="1"/>
      <x:c r="N2" s="1"/>
    </x:row>
    <x:row r="3">
      <x:c r="A3" s="1"/>
      <x:c r="B3" s="1"/>
      <x:c r="C3" s="1"/>
      <x:c r="D3" s="1"/>
      <x:c r="E3" s="1"/>
      <x:c r="F3" s="1"/>
      <x:c r="G3" s="1"/>
      <x:c r="H3" s="1"/>
      <x:c r="I3" s="12" t="str">
        <x:v>Известное событие</x:v>
      </x:c>
      <x:c r="J3" s="26" t="str">
        <x:v>Статус</x:v>
      </x:c>
      <x:c r="K3" s="26" t="str">
        <x:v>Последнее обновление</x:v>
      </x:c>
      <x:c r="L3" s="13" t="str">
        <x:v>ID</x:v>
      </x:c>
      <x:c r="M3" s="80"/>
      <x:c r="N3" s="80"/>
    </x:row>
    <x:row r="4">
      <x:c r="A4" s="93" t="str">
        <x:v>ID</x:v>
      </x:c>
      <x:c r="B4" s="94" t="str">
        <x:v>Время</x:v>
      </x:c>
      <x:c r="C4" s="94" t="str">
        <x:v>Канал</x:v>
      </x:c>
      <x:c r="D4" s="94" t="str">
        <x:v>Источник</x:v>
      </x:c>
      <x:c r="E4" s="94" t="str">
        <x:v>Заголовок</x:v>
      </x:c>
      <x:c r="F4" s="94" t="str">
        <x:v>Исходный текст</x:v>
      </x:c>
      <x:c r="G4" s="95" t="str">
        <x:v>Ссылка</x:v>
      </x:c>
      <x:c r="H4" s="1"/>
      <x:c r="I4" s="80" t="str">
        <x:v>Пилот адресной рекламы оператора «Вектор»</x:v>
      </x:c>
      <x:c r="J4" s="80" t="str">
        <x:v>confirmed</x:v>
      </x:c>
      <x:c r="K4" s="81" t="n">
        <x:v>46255.5</x:v>
      </x:c>
      <x:c r="L4" s="80" t="str">
        <x:v>KNOWN-B-01</x:v>
      </x:c>
      <x:c r="M4" s="80"/>
      <x:c r="N4" s="80"/>
    </x:row>
    <x:row r="5" ht="90" customHeight="1">
      <x:c r="A5" s="46" t="str">
        <x:v>B01</x:v>
      </x:c>
      <x:c r="B5" s="76" t="n">
        <x:v>46259.21388888889</x:v>
      </x:c>
      <x:c r="C5" s="46" t="str">
        <x:v>rss</x:v>
      </x:c>
      <x:c r="D5" s="46" t="str">
        <x:v>Delivery Tech</x:v>
      </x:c>
      <x:c r="E5" s="46" t="str">
        <x:v>Сервис доставки внедрил голосовое меню</x:v>
      </x:c>
      <x:c r="F5" s="46" t="str">
        <x:v>Сервис доставки еды добавил в мобильное приложение голосовой поиск ресторанов. Компания сообщает, что участники пилота стали оформлять повторные заказы на 11% быстрее.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5" s="46" t="str">
        <x:v>https://fixtures.gs-labs.invalid/rss/b01</x:v>
      </x:c>
      <x:c r="H5" s="1"/>
      <x:c r="I5" s="80" t="str">
        <x:v>Новая версия комплекта разработчика GS Labs</x:v>
      </x:c>
      <x:c r="J5" s="80" t="str">
        <x:v>confirmed</x:v>
      </x:c>
      <x:c r="K5" s="81" t="n">
        <x:v>46254.3125</x:v>
      </x:c>
      <x:c r="L5" s="80" t="str">
        <x:v>KNOWN-B-02</x:v>
      </x:c>
      <x:c r="M5" s="80"/>
      <x:c r="N5" s="80"/>
    </x:row>
    <x:row r="6" ht="90" customHeight="1">
      <x:c r="A6" s="49" t="str">
        <x:v>B02</x:v>
      </x:c>
      <x:c r="B6" s="77" t="n">
        <x:v>46259.222916666666</x:v>
      </x:c>
      <x:c r="C6" s="49" t="str">
        <x:v>telegram</x:v>
      </x:c>
      <x:c r="D6" s="49" t="str">
        <x:v>Digital Art Channel</x:v>
      </x:c>
      <x:c r="E6" s="49" t="str">
        <x:v>Фестиваль цифрового искусства объявил программу</x:v>
      </x:c>
      <x:c r="F6" s="49" t="str">
        <x:v>Организаторы фестиваля опубликовали список интерактивных инсталляций и лекций о генеративной графике. В главном зале установят двенадцать широкоформатных экранов.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6" s="49" t="str">
        <x:v>https://fixtures.gs-labs.invalid/telegram/b02</x:v>
      </x:c>
      <x:c r="H6" s="1"/>
      <x:c r="I6" s="80" t="str">
        <x:v>Завершённая выставка телеком-оборудования</x:v>
      </x:c>
      <x:c r="J6" s="80" t="str">
        <x:v>archived</x:v>
      </x:c>
      <x:c r="K6" s="81" t="n">
        <x:v>46251.61111111111</x:v>
      </x:c>
      <x:c r="L6" s="80" t="str">
        <x:v>KNOWN-B-03</x:v>
      </x:c>
      <x:c r="M6" s="80"/>
      <x:c r="N6" s="80"/>
    </x:row>
    <x:row r="7" ht="90" customHeight="1">
      <x:c r="A7" s="49" t="str">
        <x:v>B07</x:v>
      </x:c>
      <x:c r="B7" s="77" t="n">
        <x:v>46259.228472222225</x:v>
      </x:c>
      <x:c r="C7" s="49" t="str">
        <x:v>regulator_html</x:v>
      </x:c>
      <x:c r="D7" s="49" t="str">
        <x:v>Портал проектов методик</x:v>
      </x:c>
      <x:c r="E7" s="49" t="str">
        <x:v>ЦОД предложили отчитываться об энергоэффективности</x:v>
      </x:c>
      <x:c r="F7" s="49" t="str">
        <x:v>Проект методики вводит ежегодную отчётность об энергоэффективности центров обработки данных мощностью свыше 500 кВт. Публичное обсуждение продлится до 22 сентября; обязательность пока не установлена.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x:v>
      </x:c>
      <x:c r="G7" s="49" t="str">
        <x:v>https://fixtures.gs-labs.invalid/regulator_html/b07</x:v>
      </x:c>
      <x:c r="H7" s="1"/>
      <x:c r="I7" s="80" t="str">
        <x:v>Обзор российского рынка медиаплатформ</x:v>
      </x:c>
      <x:c r="J7" s="80" t="str">
        <x:v>confirmed</x:v>
      </x:c>
      <x:c r="K7" s="81" t="n">
        <x:v>46247.256944444445</x:v>
      </x:c>
      <x:c r="L7" s="80" t="str">
        <x:v>KNOWN-B-04</x:v>
      </x:c>
      <x:c r="M7" s="80"/>
      <x:c r="N7" s="80"/>
    </x:row>
    <x:row r="8" ht="90" customHeight="1">
      <x:c r="A8" s="49" t="str">
        <x:v>B03</x:v>
      </x:c>
      <x:c r="B8" s="77" t="n">
        <x:v>46259.23888888889</x:v>
      </x:c>
      <x:c r="C8" s="49" t="str">
        <x:v>rss</x:v>
      </x:c>
      <x:c r="D8" s="49" t="str">
        <x:v>Retail Design</x:v>
      </x:c>
      <x:c r="E8" s="49" t="str">
        <x:v>Производитель мебели открыл шоурум</x:v>
      </x:c>
      <x:c r="F8" s="49" t="str">
        <x:v>Компания открыла мебельный шоурум с сенсорными экранами для каталога и цифровой навигацией по залу. Проект охватывает два этажа и более тысячи товарных позиций.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8" s="49" t="str">
        <x:v>https://fixtures.gs-labs.invalid/rss/b03</x:v>
      </x:c>
      <x:c r="H8" s="1"/>
      <x:c r="I8" s="80"/>
      <x:c r="J8" s="80"/>
      <x:c r="K8" s="80"/>
      <x:c r="L8" s="80"/>
      <x:c r="M8" s="80"/>
      <x:c r="N8" s="80"/>
    </x:row>
    <x:row r="9" ht="90" customHeight="1">
      <x:c r="A9" s="49" t="str">
        <x:v>B17</x:v>
      </x:c>
      <x:c r="B9" s="77" t="n">
        <x:v>46259.248611111114</x:v>
      </x:c>
      <x:c r="C9" s="49" t="str">
        <x:v>regulator_html</x:v>
      </x:c>
      <x:c r="D9" s="49" t="str">
        <x:v>Портал IoT-регулирования</x:v>
      </x:c>
      <x:c r="E9" s="49" t="str">
        <x:v>Концепция правил удалённого обновления подключённых устройств</x:v>
      </x:c>
      <x:c r="F9" s="49" t="str">
        <x:v>Опубликована концепция требований к журналированию и откату удалённых обновлений подключённых устройств. Идентификатор обсуждения — RU-IOT-77; предложения принимаются до 5 сентября.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
Раздел 8. История версий позволяет восстановить добавленные, исключённые и изменённые положения. Новый URL карточки сам по себе не доказывает появление нового независимого проекта.
Раздел 9. В разделе статуса отдельно указываются этап, дата события и основание изменения. Только это поле показывает, продолжается ли процедура, завершена она или прекращена.
Раздел 10. Перечень приложений может включать текст, сравнительную таблицу, финансовое обоснование и протокол. Отсутствующий файл не следует реконструировать по названию.
Раздел 11. Контрольная информация предназначена для проверки происхождения: идентификатор карточки, время обновления и орган-разработчик сохраняются без нормализации смысла.
Раздел 12. Раздел уведомлений фиксирует только действия на портале. Уведомление о размещении редакции не равно уведомлению о вступлении требований в силу.
Раздел 13. Если вторичная публикация противоречит карточке, её можно сохранить как отдельную позицию или риск коммуникации, но нельзя ею перезаписывать официальный статус.
Раздел 14. Предметная применимость определяется по определениям и области действия документа. Название технологии или отрасли в тексте ещё не доказывает влияние на конкретный продукт GS Labs.
Раздел 15. Архивная версия остаётся доступной для сравнения. Текущая редакция и перечень существенных изменений относительно прошлой опубликованы раздельно.
Раздел 16. Поля карточки могут обновляться не одновременно: дата страницы, дата документа и дата события различаются и приводятся в отдельных реквизитах.
Раздел 17. Решение о прекращении, возврате или доработке не стирает прежнюю историю. Оно добавляется как новое состояние долгоживущего объекта НПА.
Раздел 18. Сводные сведения процедуры включают идентификатор объекта, текущий этап, актуальную редакцию и перечень внесённых изменений.
Раздел 19. Сведения об ответственном подразделении помогают отличить официальный документ от материалов с похожим названием, выпущенных другим органом.
Раздел 20. Версия основного файла фиксируется вместе с контрольной суммой и датой загрузки. Замена вложения без изменения заголовка карточки всё равно считается новой редакцией.
Раздел 21. Таблица разногласий показывает, какие предложения учтены, отклонены или требуют дополнительного согласования. Она не меняет текст до публикации новой редакции.
Раздел 22. Поле предполагаемой даты применения заполняется разработчиком и может измениться на следующем этапе. Оно не тождественно дате принятия или публикации.</x:v>
      </x:c>
      <x:c r="G9" s="49" t="str">
        <x:v>https://fixtures.gs-labs.invalid/regulator_html/b17</x:v>
      </x:c>
      <x:c r="H9" s="1"/>
      <x:c r="I9" s="80"/>
      <x:c r="J9" s="80"/>
      <x:c r="K9" s="80"/>
      <x:c r="L9" s="80"/>
      <x:c r="M9" s="80"/>
      <x:c r="N9" s="80"/>
    </x:row>
    <x:row r="10" ht="90" customHeight="1">
      <x:c r="A10" s="49" t="str">
        <x:v>B04</x:v>
      </x:c>
      <x:c r="B10" s="77" t="n">
        <x:v>46259.256944444445</x:v>
      </x:c>
      <x:c r="C10" s="49" t="str">
        <x:v>rss</x:v>
      </x:c>
      <x:c r="D10" s="49" t="str">
        <x:v>Streaming Review</x:v>
      </x:c>
      <x:c r="E10" s="49" t="str">
        <x:v>Стриминговый блог назвал лучшие комедии</x:v>
      </x:c>
      <x:c r="F10" s="49" t="str">
        <x:v>Редакционная подборка рекомендует десять комедий на выходные. Читатели могут проголосовать за любимый фильм, а итоговый рейтинг обновится в понедельник.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0" s="49" t="str">
        <x:v>https://fixtures.gs-labs.invalid/rss/b04</x:v>
      </x:c>
      <x:c r="H10" s="1"/>
      <x:c r="I10" s="12" t="str">
        <x:v>НПА</x:v>
      </x:c>
      <x:c r="J10" s="26" t="str">
        <x:v>Стадия</x:v>
      </x:c>
      <x:c r="K10" s="26" t="str">
        <x:v>Версия</x:v>
      </x:c>
      <x:c r="L10" s="26" t="str">
        <x:v>Последнее событие</x:v>
      </x:c>
      <x:c r="M10" s="26" t="str">
        <x:v>ID</x:v>
      </x:c>
      <x:c r="N10" s="13" t="str">
        <x:v>История</x:v>
      </x:c>
    </x:row>
    <x:row r="11" ht="90" customHeight="1">
      <x:c r="A11" s="49" t="str">
        <x:v>B08</x:v>
      </x:c>
      <x:c r="B11" s="77" t="n">
        <x:v>46259.26597222222</x:v>
      </x:c>
      <x:c r="C11" s="49" t="str">
        <x:v>corporate_html</x:v>
      </x:c>
      <x:c r="D11" s="49" t="str">
        <x:v>GS Labs</x:v>
      </x:c>
      <x:c r="E11" s="49" t="str">
        <x:v>GS Labs получила награду за платформу интерактивного телевидения</x:v>
      </x:c>
      <x:c r="F11" s="49" t="str">
        <x:v>Проект GS Labs получил отраслевую награду за пользовательский интерфейс интерактивного телевидения. Награда не содержит данных о продажах или новых контрактах.
Контекст 1. Пресс-центр приводит слова представителя компании и фактические параметры объявления. Оценки масштаба и будущие планы отделены от уже выполненных действий.
Контекст 2. Материал предназначен для публичного распространения; технические детали и коммерческие условия, не указанные в тексте, считать подтверждёнными нельзя.
Контекст 3. В справочном блоке описана специализация участников, но не раскрываются доли, стоимость работ и обязательства после пилотного этапа.
Контекст 4. Цитата руководителя относится к цели проекта. Она не является измеренным результатом и не подтверждает достижение будущих показателей.
Контекст 5. Контакт для СМИ указан для уточнений. Отсутствующие в релизе ответы нельзя заменять предположениями о стратегии или внутренних планах.
Контекст 6. Фотографии и демонстрационные материалы иллюстрируют объявление, но не расширяют заявленный масштаб внедрения.
Контекст 7. Дата релиза отражает момент публичного сообщения. Фактическое начало пилота или программы приводится отдельно, если оно известно.
Контекст 8. Следующие этапы сформулированы как намерения и зависят от результатов текущего этапа. Их нельзя описывать как уже принятые решения.
Контекст 9. Справка о компаниях описывает их профиль на дату релиза и не подтверждает эксклюзивность партнёрства.
Контекст 10. Если в публикации приведён диапазон или верхняя граница, итоговая карточка не должна превращать его в фактически достигнутое значение.</x:v>
      </x:c>
      <x:c r="G11" s="49" t="str">
        <x:v>https://fixtures.gs-labs.invalid/corporate_html/b08</x:v>
      </x:c>
      <x:c r="H11" s="1"/>
      <x:c r="I11" s="80" t="str">
        <x:v>Предустановка медиаприложений</x:v>
      </x:c>
      <x:c r="J11" s="80" t="str">
        <x:v>public_discussion</x:v>
      </x:c>
      <x:c r="K11" s="80" t="str">
        <x:v>v1</x:v>
      </x:c>
      <x:c r="L11" s="80" t="str">
        <x:v>2026-08-12</x:v>
      </x:c>
      <x:c r="M11" s="80" t="str">
        <x:v>02/15/07-26/00181111</x:v>
      </x:c>
      <x:c r="N11" s="80" t="str">
        <x:v>2026-08-12: public_discussion v1</x:v>
      </x:c>
    </x:row>
    <x:row r="12" ht="90" customHeight="1">
      <x:c r="A12" s="49" t="str">
        <x:v>B05</x:v>
      </x:c>
      <x:c r="B12" s="77" t="n">
        <x:v>46259.274305555555</x:v>
      </x:c>
      <x:c r="C12" s="49" t="str">
        <x:v>telegram</x:v>
      </x:c>
      <x:c r="D12" s="49" t="str">
        <x:v>Python Education</x:v>
      </x:c>
      <x:c r="E12" s="49" t="str">
        <x:v>Курс по Python обновил учебную программу</x:v>
      </x:c>
      <x:c r="F12" s="49" t="str">
        <x:v>Онлайн-школа добавила модуль по анализу изображений. Студенты соберут классификатор фотографий и представят итоговый проект на открытом вебинаре.</x:v>
      </x:c>
      <x:c r="G12" s="49" t="str">
        <x:v>https://fixtures.gs-labs.invalid/telegram/b05</x:v>
      </x:c>
      <x:c r="H12" s="1"/>
      <x:c r="I12" s="80" t="str">
        <x:v>Доступность интерфейсов Smart TV</x:v>
      </x:c>
      <x:c r="J12" s="80" t="str">
        <x:v>approved_voluntary</x:v>
      </x:c>
      <x:c r="K12" s="80" t="str">
        <x:v>v1</x:v>
      </x:c>
      <x:c r="L12" s="80" t="str">
        <x:v>2026-08-15</x:v>
      </x:c>
      <x:c r="M12" s="80" t="str">
        <x:v>STD-TV-14</x:v>
      </x:c>
      <x:c r="N12" s="80" t="str">
        <x:v>2026-08-15: approved_voluntary v1</x:v>
      </x:c>
    </x:row>
    <x:row r="13" ht="90" customHeight="1">
      <x:c r="A13" s="49" t="str">
        <x:v>B06</x:v>
      </x:c>
      <x:c r="B13" s="77" t="n">
        <x:v>46259.28888888889</x:v>
      </x:c>
      <x:c r="C13" s="49" t="str">
        <x:v>rss</x:v>
      </x:c>
      <x:c r="D13" s="49" t="str">
        <x:v>Product Design</x:v>
      </x:c>
      <x:c r="E13" s="49" t="str">
        <x:v>Дизайнер представил умную лампу</x:v>
      </x:c>
      <x:c r="F13" s="49" t="str">
        <x:v>Краудфандинговый проект предлагает декоративную лампу с пультом и мобильным приложением. Прототип поддерживает сценарии освещения и синхронизацию с музыкой.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3" s="49" t="str">
        <x:v>https://fixtures.gs-labs.invalid/rss/b06</x:v>
      </x:c>
      <x:c r="H13" s="1"/>
      <x:c r="I13" s="1"/>
      <x:c r="J13" s="1"/>
      <x:c r="K13" s="1"/>
      <x:c r="L13" s="1"/>
      <x:c r="M13" s="1"/>
      <x:c r="N13" s="1"/>
    </x:row>
    <x:row r="14" ht="90" customHeight="1">
      <x:c r="A14" s="49" t="str">
        <x:v>B09</x:v>
      </x:c>
      <x:c r="B14" s="77" t="n">
        <x:v>46259.3</x:v>
      </x:c>
      <x:c r="C14" s="49" t="str">
        <x:v>rss</x:v>
      </x:c>
      <x:c r="D14" s="49" t="str">
        <x:v>Региональные меры поддержки</x:v>
      </x:c>
      <x:c r="E14" s="49" t="str">
        <x:v>Регион расширил субсидии производителям радиоэлектроники</x:v>
      </x:c>
      <x:c r="F14" s="49" t="str">
        <x:v>Программа компенсирует до 20% затрат на пилотные партии радиоэлектронной продукции, но не более 30 млн рублей на проект. Заявки принимаются до 30 сентября.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4" s="49" t="str">
        <x:v>https://fixtures.gs-labs.invalid/rss/b09</x:v>
      </x:c>
      <x:c r="H14" s="1"/>
      <x:c r="I14" s="1"/>
      <x:c r="J14" s="1"/>
      <x:c r="K14" s="1"/>
      <x:c r="L14" s="1"/>
      <x:c r="M14" s="1"/>
      <x:c r="N14" s="1"/>
    </x:row>
    <x:row r="15" ht="90" customHeight="1">
      <x:c r="A15" s="49" t="str">
        <x:v>B20</x:v>
      </x:c>
      <x:c r="B15" s="77" t="n">
        <x:v>46259.31319444445</x:v>
      </x:c>
      <x:c r="C15" s="49" t="str">
        <x:v>search_api</x:v>
      </x:c>
      <x:c r="D15" s="49" t="str">
        <x:v>Форум операторов</x:v>
      </x:c>
      <x:c r="E15" s="49" t="str">
        <x:v>Протокол форума операторов: спрос на единый API телеметрии</x:v>
      </x:c>
      <x:c r="F15" s="49" t="str">
        <x:v>В опубликованном протоколе технической секции четыре региональных оператора назвали отсутствие единого API телеметрии препятствием для обновления парка приставок. Решений о закупке нет, но зафиксирован общий рыночный запрос.
Контекст 1. Результат найден дополнительным поиском и отсутствует в постоянной ленте. Фрагмент может быть неполным, поэтому вывод должен опираться на доступный первичный документ и явно отмечать неизвестное.
Контекст 2. Поисковая оценка показывает близость запросу, но не является оценкой достоверности или важности для GS Labs.
Контекст 3. Дата в поисковом ответе может отсутствовать или относиться к индексации. Если время публикации критично, его нужно получать с исходной страницы.
Контекст 4. Одинаковый URL может встретиться и в постоянном источнике. Такое повторное обнаружение не является второй публикацией или дополнительным подтверждением.
Контекст 5. Фрагмент сформирован поисковой выдачей и может обрываться до важной оговорки; полный текст доступен только на исходной странице.
Контекст 6. Сходство с запросом вызвано несколькими отраслевыми терминами. Оно не гарантирует связь с цифровым телевидением или интересами компании.
Контекст 7. При недоступности полного текста сохраняются заголовок, URL, фрагмент и признак неполноты. Результат может быть отправлен на проверку, но не выпускаться как установленный факт.
Контекст 8. Поиск выполнялся в фиксированном временном окне и с замороженной формулировкой запроса. Это позволяет сравнивать fixed и hybrid без подмены условий.
Контекст 9. Несколько результатов одного домена не считаются независимыми подтверждениями, если они ведут на одну исходную публикацию.</x:v>
      </x:c>
      <x:c r="G15" s="49" t="str">
        <x:v>https://fixtures.gs-labs.invalid/search_api/b20</x:v>
      </x:c>
      <x:c r="H15" s="1"/>
      <x:c r="I15" s="1"/>
      <x:c r="J15" s="1"/>
      <x:c r="K15" s="1"/>
      <x:c r="L15" s="1"/>
      <x:c r="M15" s="1"/>
      <x:c r="N15" s="1"/>
    </x:row>
    <x:row r="16" ht="90" customHeight="1">
      <x:c r="A16" s="49" t="str">
        <x:v>B10</x:v>
      </x:c>
      <x:c r="B16" s="77" t="n">
        <x:v>46259.33194444444</x:v>
      </x:c>
      <x:c r="C16" s="49" t="str">
        <x:v>telegram</x:v>
      </x:c>
      <x:c r="D16" s="49" t="str">
        <x:v>Security Research</x:v>
      </x:c>
      <x:c r="E16" s="49" t="str">
        <x:v>Исследователи раскрыли уязвимость медиаплеера OpenView</x:v>
      </x:c>
      <x:c r="F16" s="49" t="str">
        <x:v>Исследовательская группа описала удалённое выполнение кода в библиотеке OpenView 4.1. Неизвестно, используется ли эта библиотека в продуктах GS Labs; производитель выпустил исправление 4.1.2.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x:v>
      </x:c>
      <x:c r="G16" s="49" t="str">
        <x:v>https://fixtures.gs-labs.invalid/telegram/b10</x:v>
      </x:c>
      <x:c r="H16" s="1"/>
      <x:c r="I16" s="1"/>
      <x:c r="J16" s="1"/>
      <x:c r="K16" s="1"/>
      <x:c r="L16" s="1"/>
      <x:c r="M16" s="1"/>
      <x:c r="N16" s="1"/>
    </x:row>
    <x:row r="17" ht="90" customHeight="1">
      <x:c r="A17" s="49" t="str">
        <x:v>B21</x:v>
      </x:c>
      <x:c r="B17" s="77" t="n">
        <x:v>46259.33888888889</x:v>
      </x:c>
      <x:c r="C17" s="49" t="str">
        <x:v>search_api</x:v>
      </x:c>
      <x:c r="D17" s="49" t="str">
        <x:v>Web search</x:v>
      </x:c>
      <x:c r="E17" s="49" t="str">
        <x:v>API телеметрии для теплиц</x:v>
      </x:c>
      <x:c r="F17" s="49" t="str">
        <x:v>Разработчик агроплатформы открыл API телеметрии датчиков влажности и температуры. Документация описывает пакетную выгрузку показаний и тревоги для агронома.
Контекст 1. Результат найден дополнительным поиском и отсутствует в постоянной ленте. Фрагмент может быть неполным, поэтому вывод должен опираться на доступный первичный документ и явно отмечать неизвестное.
Контекст 2. Поисковая оценка показывает близость запросу, но не является оценкой достоверности или важности для GS Labs.
Контекст 3. Дата в поисковом ответе может отсутствовать или относиться к индексации. Если время публикации критично, его нужно получать с исходной страницы.
Контекст 4. Одинаковый URL может встретиться и в постоянном источнике. Такое повторное обнаружение не является второй публикацией или дополнительным подтверждением.
Контекст 5. Фрагмент сформирован поисковой выдачей и может обрываться до важной оговорки; полный текст доступен только на исходной странице.
Контекст 6. Сходство с запросом вызвано несколькими отраслевыми терминами. Оно не гарантирует связь с цифровым телевидением или интересами компании.
Контекст 7. При недоступности полного текста сохраняются заголовок, URL, фрагмент и признак неполноты. Результат может быть отправлен на проверку, но не выпускаться как установленный факт.
Контекст 8. Поиск выполнялся в фиксированном временном окне и с замороженной формулировкой запроса. Это позволяет сравнивать fixed и hybrid без подмены условий.
Контекст 9. Несколько результатов одного домена не считаются независимыми подтверждениями, если они ведут на одну исходную публикацию.</x:v>
      </x:c>
      <x:c r="G17" s="49" t="str">
        <x:v>https://fixtures.gs-labs.invalid/search_api/b21</x:v>
      </x:c>
      <x:c r="H17" s="1"/>
      <x:c r="I17" s="1"/>
      <x:c r="J17" s="1"/>
      <x:c r="K17" s="1"/>
      <x:c r="L17" s="1"/>
      <x:c r="M17" s="1"/>
      <x:c r="N17" s="1"/>
    </x:row>
    <x:row r="18" ht="90" customHeight="1">
      <x:c r="A18" s="49" t="str">
        <x:v>B11</x:v>
      </x:c>
      <x:c r="B18" s="77" t="n">
        <x:v>46259.350694444445</x:v>
      </x:c>
      <x:c r="C18" s="49" t="str">
        <x:v>regulator_html</x:v>
      </x:c>
      <x:c r="D18" s="49" t="str">
        <x:v>Рабочая группа по контенту</x:v>
      </x:c>
      <x:c r="E18" s="49" t="str">
        <x:v>Опубликована концепция маркировки легального видеоконтента</x:v>
      </x:c>
      <x:c r="F18" s="49" t="str">
        <x:v>Рабочая группа опубликовала концепцию цифровой маркировки легального видеоконтента. Документ предлагает пилот, а не обязательное внедрение; параметры пилота должны определить отдельно.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x:v>
      </x:c>
      <x:c r="G18" s="49" t="str">
        <x:v>https://fixtures.gs-labs.invalid/regulator_html/b11</x:v>
      </x:c>
      <x:c r="H18" s="1"/>
      <x:c r="I18" s="1"/>
      <x:c r="J18" s="1"/>
      <x:c r="K18" s="1"/>
      <x:c r="L18" s="1"/>
      <x:c r="M18" s="1"/>
      <x:c r="N18" s="1"/>
    </x:row>
    <x:row r="19" ht="90" customHeight="1">
      <x:c r="A19" s="49" t="str">
        <x:v>B12</x:v>
      </x:c>
      <x:c r="B19" s="77" t="n">
        <x:v>46259.36041666667</x:v>
      </x:c>
      <x:c r="C19" s="49" t="str">
        <x:v>rss</x:v>
      </x:c>
      <x:c r="D19" s="49" t="str">
        <x:v>Видеоиндустрия</x:v>
      </x:c>
      <x:c r="E19" s="49" t="str">
        <x:v>Онлайн-кинотеатры готовят обязательную маркировку видео</x:v>
      </x:c>
      <x:c r="F19" s="49" t="str">
        <x:v>Издание сообщает о будущей обязательной маркировке, хотя опубликованная концепция описывает только пилот. Сроки и участники пилота ещё не утверждены.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19" s="49" t="str">
        <x:v>https://fixtures.gs-labs.invalid/rss/b12</x:v>
      </x:c>
      <x:c r="H19" s="1"/>
      <x:c r="I19" s="1"/>
      <x:c r="J19" s="1"/>
      <x:c r="K19" s="1"/>
      <x:c r="L19" s="1"/>
      <x:c r="M19" s="1"/>
      <x:c r="N19" s="1"/>
    </x:row>
    <x:row r="20" ht="90" customHeight="1">
      <x:c r="A20" s="49" t="str">
        <x:v>B13</x:v>
      </x:c>
      <x:c r="B20" s="77" t="n">
        <x:v>46259.37777777778</x:v>
      </x:c>
      <x:c r="C20" s="49" t="str">
        <x:v>telegram</x:v>
      </x:c>
      <x:c r="D20" s="49" t="str">
        <x:v>Правообладатели Online</x:v>
      </x:c>
      <x:c r="E20" s="49" t="str">
        <x:v>Правообладатели поддержали тест маркировки</x:v>
      </x:c>
      <x:c r="F20" s="49" t="str">
        <x:v>Вечерняя подборка медиаотрасли:
• Объединение правообладателей поддержало пилот маркировки легального видео, но попросило не раскрывать публично технические параметры защиты. Это позиция объединения, не норма концепции.
• Кинотеатр опубликовал расписание фестиваля документального кино.
• Музыкальная платформа добавила плейлист для тренировок.
• Производитель проекторов объявил скидку на домашнюю модель.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0" s="49" t="str">
        <x:v>https://fixtures.gs-labs.invalid/telegram/b13</x:v>
      </x:c>
      <x:c r="H20" s="1"/>
      <x:c r="I20" s="1"/>
      <x:c r="J20" s="1"/>
      <x:c r="K20" s="1"/>
      <x:c r="L20" s="1"/>
      <x:c r="M20" s="1"/>
      <x:c r="N20" s="1"/>
    </x:row>
    <x:row r="21" ht="90" customHeight="1">
      <x:c r="A21" s="49" t="str">
        <x:v>B14</x:v>
      </x:c>
      <x:c r="B21" s="77" t="n">
        <x:v>46259.4</x:v>
      </x:c>
      <x:c r="C21" s="49" t="str">
        <x:v>corporate_html</x:v>
      </x:c>
      <x:c r="D21" s="49" t="str">
        <x:v>GS Labs</x:v>
      </x:c>
      <x:c r="E21" s="49" t="str">
        <x:v>GS Labs и оператор «Орбита» начали технологический пилот</x:v>
      </x:c>
      <x:c r="F21" s="49" t="str">
        <x:v>GS Labs и оператор «Орбита» начали трёхмесячный пилот облачного интерфейса для 8 тысяч пользователей. Решение о промышленном внедрении будет принято после испытаний.
Контекст 1. Пресс-центр приводит слова представителя компании и фактические параметры объявления. Оценки масштаба и будущие планы отделены от уже выполненных действий.
Контекст 2. Материал предназначен для публичного распространения; технические детали и коммерческие условия, не указанные в тексте, считать подтверждёнными нельзя.
Контекст 3. В справочном блоке описана специализация участников, но не раскрываются доли, стоимость работ и обязательства после пилотного этапа.
Контекст 4. Цитата руководителя относится к цели проекта. Она не является измеренным результатом и не подтверждает достижение будущих показателей.
Контекст 5. Контакт для СМИ указан для уточнений. Отсутствующие в релизе ответы нельзя заменять предположениями о стратегии или внутренних планах.
Контекст 6. Фотографии и демонстрационные материалы иллюстрируют объявление, но не расширяют заявленный масштаб внедрения.
Контекст 7. Дата релиза отражает момент публичного сообщения. Фактическое начало пилота или программы приводится отдельно, если оно известно.
Контекст 8. Следующие этапы сформулированы как намерения и зависят от результатов текущего этапа. Их нельзя описывать как уже принятые решения.
Контекст 9. Справка о компаниях описывает их профиль на дату релиза и не подтверждает эксклюзивность партнёрства.
Контекст 10. Если в публикации приведён диапазон или верхняя граница, итоговая карточка не должна превращать его в фактически достигнутое значение.</x:v>
      </x:c>
      <x:c r="G21" s="49" t="str">
        <x:v>https://fixtures.gs-labs.invalid/corporate_html/b14</x:v>
      </x:c>
      <x:c r="H21" s="1"/>
      <x:c r="I21" s="1"/>
      <x:c r="J21" s="1"/>
      <x:c r="K21" s="1"/>
      <x:c r="L21" s="1"/>
      <x:c r="M21" s="1"/>
      <x:c r="N21" s="1"/>
    </x:row>
    <x:row r="22" ht="90" customHeight="1">
      <x:c r="A22" s="49" t="str">
        <x:v>B15</x:v>
      </x:c>
      <x:c r="B22" s="77" t="n">
        <x:v>46259.4125</x:v>
      </x:c>
      <x:c r="C22" s="49" t="str">
        <x:v>rss</x:v>
      </x:c>
      <x:c r="D22" s="49" t="str">
        <x:v>Оператор Орбита</x:v>
      </x:c>
      <x:c r="E22" s="49" t="str">
        <x:v>«Орбита» тестирует облачный интерфейс на 8 тысячах пользователей</x:v>
      </x:c>
      <x:c r="F22" s="49" t="str">
        <x:v>Оператор подтвердил масштаб и длительность пилота с GS Labs. Представитель оператора отметил, что критериями будут стабильность и доля завершённых пользовательских сценариев.
Контекст 1. Редакция отделяет подтверждённые сведения от оценок участников рынка. Дополнительных решений или обязательств, кроме прямо перечисленных в материале, источник не сообщает.
Контекст 2. В публикации сохранены дата, ссылка на первичное сообщение и оговорки о статусе события. Прогнозные значения не следует смешивать с уже достигнутыми показателями.
Контекст 3. Корреспондент запросил комментарий у упомянутой организации, но к моменту публикации ответ не поступил. Поэтому материал не подтверждает внутренние планы компании и описывает только открытые сведения.</x:v>
      </x:c>
      <x:c r="G22" s="49" t="str">
        <x:v>https://fixtures.gs-labs.invalid/rss/b15</x:v>
      </x:c>
      <x:c r="H22" s="1"/>
      <x:c r="I22" s="1"/>
      <x:c r="J22" s="1"/>
      <x:c r="K22" s="1"/>
      <x:c r="L22" s="1"/>
      <x:c r="M22" s="1"/>
      <x:c r="N22" s="1"/>
    </x:row>
    <x:row r="23" ht="90" customHeight="1">
      <x:c r="A23" s="49" t="str">
        <x:v>B16</x:v>
      </x:c>
      <x:c r="B23" s="77" t="n">
        <x:v>46259.42847222222</x:v>
      </x:c>
      <x:c r="C23" s="49" t="str">
        <x:v>telegram</x:v>
      </x:c>
      <x:c r="D23" s="49" t="str">
        <x:v>Телеком-инсайд</x:v>
      </x:c>
      <x:c r="E23" s="49" t="str">
        <x:v>Источник: «Орбита» уже выбрала GS Labs для всей сети</x:v>
      </x:c>
      <x:c r="F23" s="49" t="str">
        <x:v>Анонимный канал утверждает, что промышленное решение якобы уже принято. Официальные стороны говорят только о трёхмесячном пилоте и последующей оценке.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3" s="49" t="str">
        <x:v>https://fixtures.gs-labs.invalid/telegram/b16</x:v>
      </x:c>
      <x:c r="H23" s="1"/>
      <x:c r="I23" s="1"/>
      <x:c r="J23" s="1"/>
      <x:c r="K23" s="1"/>
      <x:c r="L23" s="1"/>
      <x:c r="M23" s="1"/>
      <x:c r="N23" s="1"/>
    </x:row>
    <x:row r="24" ht="90" customHeight="1">
      <x:c r="A24" s="49" t="str">
        <x:v>B22</x:v>
      </x:c>
      <x:c r="B24" s="77" t="n">
        <x:v>46259.45972222222</x:v>
      </x:c>
      <x:c r="C24" s="49" t="str">
        <x:v>telegram</x:v>
      </x:c>
      <x:c r="D24" s="49" t="str">
        <x:v>Медиарынок: ссылки дня</x:v>
      </x:c>
      <x:c r="E24" s="49" t="str">
        <x:v>Архивная вакансия разработчика приставок</x:v>
      </x:c>
      <x:c r="F24" s="49" t="str">
        <x:v>В архивной вакансии от апреля 2021 года требовался разработчик Linux для телевизионных приставок. Приём откликов завершён, указанная команда была сформирована в том же году.
Контекст 1. В подборке рядом также упомянуты запуск курса для студентов и обновление приложения доставки; эти пункты не связаны с основной темой сообщения.
Контекст 2. Источник предлагает проверить первичную публикацию перед использованием цифр и отдельно помечает мнение автора канала.</x:v>
      </x:c>
      <x:c r="G24" s="49" t="str">
        <x:v>https://fixtures.gs-labs.invalid/telegram/b22</x:v>
      </x:c>
      <x:c r="H24" s="1"/>
      <x:c r="I24" s="1"/>
      <x:c r="J24" s="1"/>
      <x:c r="K24" s="1"/>
      <x:c r="L24" s="1"/>
      <x:c r="M24" s="1"/>
      <x:c r="N24" s="1"/>
    </x:row>
    <x:row r="25" ht="90" customHeight="1">
      <x:c r="A25" s="49" t="str">
        <x:v>B18</x:v>
      </x:c>
      <x:c r="B25" s="77" t="n">
        <x:v>46259.48819444444</x:v>
      </x:c>
      <x:c r="C25" s="49" t="str">
        <x:v>regulator_html</x:v>
      </x:c>
      <x:c r="D25" s="49" t="str">
        <x:v>Портал безопасных устройств</x:v>
      </x:c>
      <x:c r="E25" s="49" t="str">
        <x:v>Доработанный проект правил безопасного обновления устройств</x:v>
      </x:c>
      <x:c r="F25" s="49" t="str">
        <x:v>Регулятор опубликовал доработанный текст правил журналирования и отката обновлений. Страница получила новый URL и не повторяет идентификатор RU-IOT-77, но приложение ссылается на итоги того же обсуждения. Добавлен срок хранения журнала — 12 месяцев.
Раздел 1. Карточка документа содержит сведения об органе-разработчике, текущем этапе, датах размещения и приложенных файлах. Юридическую силу имеет официальный текст актуальной редакции, а не заголовок карточки или пересказ в СМИ.
Раздел 2. В истории размещения сохраняются предыдущие редакции и события рассмотрения. Публикация проекта, направление на согласование и принятие нормативного акта являются разными стадиями и не должны объединяться в одну.
Раздел 3. Раздел с документами включает основной текст, пояснительную записку и таблицу замечаний. Если применимость к конкретному продукту нельзя определить из карточки, требуется внутренняя проверка, а не автоматический вывод.
Раздел 4. Общие положения описывают предмет документа и используемые термины. Они не расширяют круг адресатов за пределы прямо указанной области и не подтверждают принадлежность конкретной организации к этой области.
Раздел 5. Порядок рассмотрения предусматривает регистрацию замечаний, подготовку сводной таблицы и публикацию доработанной редакции. Само поступление замечания не означает, что оно принято разработчиком.
Раздел 6. Сведения о сроках приведены отдельно для обсуждения, переходного периода и предполагаемого применения. Эти даты имеют разный смысл и должны храниться как разные поля.
Раздел 7. Приложенная пояснительная записка объясняет мотивы разработчика, но не заменяет нормативные формулировки. При расхождении приоритет имеет актуальный текст проекта или итогового акта.
Раздел 8. История версий позволяет восстановить добавленные, исключённые и изменённые положения. Новый URL карточки сам по себе не доказывает появление нового независимого проекта.
Раздел 9. В разделе статуса отдельно указываются этап, дата события и основание изменения. Только это поле показывает, продолжается ли процедура, завершена она или прекращена.
Раздел 10. Перечень приложений может включать текст, сравнительную таблицу, финансовое обоснование и протокол. Отсутствующий файл не следует реконструировать по названию.
Раздел 11. Контрольная информация предназначена для проверки происхождения: идентификатор карточки, время обновления и орган-разработчик сохраняются без нормализации смысла.
Раздел 12. Раздел уведомлений фиксирует только действия на портале. Уведомление о размещении редакции не равно уведомлению о вступлении требований в силу.
Раздел 13. Если вторичная публикация противоречит карточке, её можно сохранить как отдельную позицию или риск коммуникации, но нельзя ею перезаписывать официальный статус.
Раздел 14. Предметная применимость определяется по определениям и области действия документа. Название технологии или отрасли в тексте ещё не доказывает влияние на конкретный продукт GS Labs.
Раздел 15. Архивная версия остаётся доступной для сравнения. Текущая редакция и перечень существенных изменений относительно прошлой опубликованы раздельно.
Раздел 16. Поля карточки могут обновляться не одновременно: дата страницы, дата документа и дата события различаются и приводятся в отдельных реквизитах.
Раздел 17. Решение о прекращении, возврате или доработке не стирает прежнюю историю. Оно добавляется как новое состояние долгоживущего объекта НПА.
Раздел 18. Сводные сведения процедуры включают идентификатор объекта, текущий этап, актуальную редакцию и перечень внесённых изменений.
Раздел 19. Сведения об ответственном подразделении помогают отличить официальный документ от материалов с похожим названием, выпущенных другим органом.
Раздел 20. Версия основного файла фиксируется вместе с контрольной суммой и датой загрузки. Замена вложения без изменения заголовка карточки всё равно считается новой редакцией.
Раздел 21. Таблица разногласий показывает, какие предложения учтены, отклонены или требуют дополнительного согласования. Она не меняет текст до публикации новой редакции.
Раздел 22. Поле предполагаемой даты применения заполняется разработчиком и может измениться на следующем этапе. Оно не тождественно дате принятия или публикации.</x:v>
      </x:c>
      <x:c r="G25" s="49" t="str">
        <x:v>https://fixtures.gs-labs.invalid/regulator_html/b18</x:v>
      </x:c>
      <x:c r="H25" s="1"/>
      <x:c r="I25" s="1"/>
      <x:c r="J25" s="1"/>
      <x:c r="K25" s="1"/>
      <x:c r="L25" s="1"/>
      <x:c r="M25" s="1"/>
      <x:c r="N25" s="1"/>
    </x:row>
    <x:row r="26" ht="90" customHeight="1">
      <x:c r="A26" s="52" t="str">
        <x:v>B19</x:v>
      </x:c>
      <x:c r="B26" s="78" t="n">
        <x:v>46259.5125</x:v>
      </x:c>
      <x:c r="C26" s="52" t="str">
        <x:v>telegram</x:v>
      </x:c>
      <x:c r="D26" s="52" t="str">
        <x:v>Право и техника</x:v>
      </x:c>
      <x:c r="E26" s="52" t="str">
        <x:v>Правила обновления устройств уже требуют хранить журналы год</x:v>
      </x:c>
      <x:c r="F26" s="52" t="str">
        <x:v>Новость описывает доработанный проект как действующее требование. В официальном источнике документ всё ещё находится на стадии проекта.</x:v>
      </x:c>
      <x:c r="G26" s="52" t="str">
        <x:v>https://fixtures.gs-labs.invalid/telegram/b19</x:v>
      </x:c>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G1"/>
    <x:mergeCell ref="A2:G2"/>
    <x:mergeCell ref="I1:N1"/>
  </x:mergeCells>
  <x:pageMargins left="0.7" right="0.7" top="0.75" bottom="0.75" header="0.3" footer="0.3"/>
</x:worksheet>
</file>

<file path=xl/worksheets/sheet6.xml><?xml version="1.0" encoding="utf-8"?>
<x:worksheet xmlns:x="http://schemas.openxmlformats.org/spreadsheetml/2006/main">
  <x:sheetPr>
    <x:tabColor rgb="FF15803D"/>
  </x:sheetPr>
  <x:sheetViews>
    <x:sheetView showGridLines="0" workbookViewId="0">
      <x:pane xSplit="2" ySplit="4" topLeftCell="C5" activePane="bottomRight" state="frozen"/>
    </x:sheetView>
  </x:sheetViews>
  <x:sheetFormatPr defaultRowHeight="15"/>
  <x:cols>
    <x:col min="1" max="1" width="10" hidden="0" customWidth="1"/>
    <x:col min="2" max="2" width="42" hidden="0" customWidth="1"/>
    <x:col min="3" max="3" width="18" hidden="0" customWidth="1"/>
    <x:col min="4" max="4" width="18" hidden="0" customWidth="1"/>
    <x:col min="5" max="5" width="18" hidden="0" customWidth="1"/>
    <x:col min="6" max="6" width="20" hidden="0" customWidth="1"/>
    <x:col min="7" max="7" width="13" hidden="0" customWidth="1"/>
    <x:col min="8" max="8" width="42" hidden="0" customWidth="1"/>
    <x:col min="9" max="9" width="42" hidden="0" customWidth="1"/>
    <x:col min="11" max="11" width="20" hidden="0" customWidth="1"/>
    <x:col min="12" max="12" width="20" hidden="0" customWidth="1"/>
  </x:cols>
  <x:sheetData>
    <x:row r="1" ht="28" customHeight="1">
      <x:c r="A1" s="22" t="str">
        <x:v>Поток B: решение специалиста</x:v>
      </x:c>
      <x:c r="B1" s="1"/>
      <x:c r="C1" s="1"/>
      <x:c r="D1" s="1"/>
      <x:c r="E1" s="1"/>
      <x:c r="F1" s="1"/>
      <x:c r="G1" s="1"/>
      <x:c r="H1" s="1"/>
      <x:c r="I1" s="1"/>
      <x:c r="J1" s="1"/>
      <x:c r="K1" s="1"/>
      <x:c r="L1" s="1"/>
      <x:c r="M1" s="1"/>
      <x:c r="N1" s="1"/>
    </x:row>
    <x:row r="2">
      <x:c r="A2" s="84" t="str">
        <x:v>Жёлтые столбцы заполняет участник. Один ID события ставьте всем публикациям одной истории.</x:v>
      </x:c>
      <x:c r="B2" s="1"/>
      <x:c r="C2" s="1"/>
      <x:c r="D2" s="1"/>
      <x:c r="E2" s="1"/>
      <x:c r="F2" s="1"/>
      <x:c r="G2" s="1"/>
      <x:c r="H2" s="1"/>
      <x:c r="I2" s="1"/>
      <x:c r="J2" s="1"/>
      <x:c r="K2" s="1"/>
      <x:c r="L2" s="1"/>
      <x:c r="M2" s="1"/>
      <x:c r="N2" s="1"/>
    </x:row>
    <x:row r="3">
      <x:c r="A3" s="1"/>
      <x:c r="B3" s="1"/>
      <x:c r="C3" s="1"/>
      <x:c r="D3" s="1"/>
      <x:c r="E3" s="1"/>
      <x:c r="F3" s="1"/>
      <x:c r="G3" s="1"/>
      <x:c r="H3" s="1"/>
      <x:c r="I3" s="1"/>
      <x:c r="J3" s="1"/>
      <x:c r="K3" s="12" t="str">
        <x:v>Заполнение</x:v>
      </x:c>
      <x:c r="L3" s="13" t="str">
        <x:v>Значение</x:v>
      </x:c>
      <x:c r="M3" s="1"/>
      <x:c r="N3" s="1"/>
    </x:row>
    <x:row r="4">
      <x:c r="A4" s="93" t="str">
        <x:v>ID</x:v>
      </x:c>
      <x:c r="B4" s="94" t="str">
        <x:v>Заголовок</x:v>
      </x:c>
      <x:c r="C4" s="94" t="str">
        <x:v>Релевантность</x:v>
      </x:c>
      <x:c r="D4" s="94" t="str">
        <x:v>Важность</x:v>
      </x:c>
      <x:c r="E4" s="94" t="str">
        <x:v>Получатель</x:v>
      </x:c>
      <x:c r="F4" s="94" t="str">
        <x:v>Событие / НПА</x:v>
      </x:c>
      <x:c r="G4" s="94" t="str">
        <x:v>В выпуск</x:v>
      </x:c>
      <x:c r="H4" s="94" t="str">
        <x:v>Краткий вывод</x:v>
      </x:c>
      <x:c r="I4" s="95" t="str">
        <x:v>Что проверить</x:v>
      </x:c>
      <x:c r="J4" s="1"/>
      <x:c r="K4" s="1" t="str">
        <x:v>Материалов</x:v>
      </x:c>
      <x:c r="L4" s="1" t="n">
        <x:v>22</x:v>
      </x:c>
      <x:c r="M4" s="1"/>
      <x:c r="N4" s="1"/>
    </x:row>
    <x:row r="5" ht="56" customHeight="1">
      <x:c r="A5" s="46" t="str">
        <x:v>B01</x:v>
      </x:c>
      <x:c r="B5" s="46" t="str">
        <x:v>Сервис доставки внедрил голосовое меню</x:v>
      </x:c>
      <x:c r="C5" s="47" t="str"/>
      <x:c r="D5" s="47" t="str"/>
      <x:c r="E5" s="47" t="str"/>
      <x:c r="F5" s="47" t="str"/>
      <x:c r="G5" s="47" t="str"/>
      <x:c r="H5" s="47" t="str"/>
      <x:c r="I5" s="47" t="str"/>
      <x:c r="J5" s="1"/>
      <x:c r="K5" s="1" t="str">
        <x:v>Классифицировано</x:v>
      </x:c>
      <x:c r="L5" s="1" t="n">
        <x:f>COUNTIF(C5:C26,"?*")</x:f>
        <x:v>0</x:v>
      </x:c>
      <x:c r="M5" s="1"/>
      <x:c r="N5" s="1"/>
    </x:row>
    <x:row r="6" ht="56" customHeight="1">
      <x:c r="A6" s="49" t="str">
        <x:v>B02</x:v>
      </x:c>
      <x:c r="B6" s="49" t="str">
        <x:v>Фестиваль цифрового искусства объявил программу</x:v>
      </x:c>
      <x:c r="C6" s="50" t="str"/>
      <x:c r="D6" s="50" t="str"/>
      <x:c r="E6" s="50" t="str"/>
      <x:c r="F6" s="50" t="str"/>
      <x:c r="G6" s="50" t="str"/>
      <x:c r="H6" s="50" t="str"/>
      <x:c r="I6" s="50" t="str"/>
      <x:c r="J6" s="1"/>
      <x:c r="K6" s="1" t="str">
        <x:v>В выпуск</x:v>
      </x:c>
      <x:c r="L6" s="1" t="n">
        <x:f>COUNTIF(G5:G26,"да")</x:f>
        <x:v>0</x:v>
      </x:c>
      <x:c r="M6" s="1"/>
      <x:c r="N6" s="1"/>
    </x:row>
    <x:row r="7" ht="56" customHeight="1">
      <x:c r="A7" s="49" t="str">
        <x:v>B07</x:v>
      </x:c>
      <x:c r="B7" s="49" t="str">
        <x:v>ЦОД предложили отчитываться об энергоэффективности</x:v>
      </x:c>
      <x:c r="C7" s="50" t="str"/>
      <x:c r="D7" s="50" t="str"/>
      <x:c r="E7" s="50" t="str"/>
      <x:c r="F7" s="50" t="str"/>
      <x:c r="G7" s="50" t="str"/>
      <x:c r="H7" s="50" t="str"/>
      <x:c r="I7" s="50" t="str"/>
      <x:c r="J7" s="1"/>
      <x:c r="K7" s="1"/>
      <x:c r="L7" s="1"/>
      <x:c r="M7" s="1"/>
      <x:c r="N7" s="1"/>
    </x:row>
    <x:row r="8" ht="56" customHeight="1">
      <x:c r="A8" s="49" t="str">
        <x:v>B03</x:v>
      </x:c>
      <x:c r="B8" s="49" t="str">
        <x:v>Производитель мебели открыл шоурум</x:v>
      </x:c>
      <x:c r="C8" s="50" t="str"/>
      <x:c r="D8" s="50" t="str"/>
      <x:c r="E8" s="50" t="str"/>
      <x:c r="F8" s="50" t="str"/>
      <x:c r="G8" s="50" t="str"/>
      <x:c r="H8" s="50" t="str"/>
      <x:c r="I8" s="50" t="str"/>
      <x:c r="J8" s="1"/>
      <x:c r="K8" s="1"/>
      <x:c r="L8" s="1"/>
      <x:c r="M8" s="1"/>
      <x:c r="N8" s="1"/>
    </x:row>
    <x:row r="9" ht="56" customHeight="1">
      <x:c r="A9" s="49" t="str">
        <x:v>B17</x:v>
      </x:c>
      <x:c r="B9" s="49" t="str">
        <x:v>Концепция правил удалённого обновления подключённых устройств</x:v>
      </x:c>
      <x:c r="C9" s="50" t="str"/>
      <x:c r="D9" s="50" t="str"/>
      <x:c r="E9" s="50" t="str"/>
      <x:c r="F9" s="50" t="str"/>
      <x:c r="G9" s="50" t="str"/>
      <x:c r="H9" s="50" t="str"/>
      <x:c r="I9" s="50" t="str"/>
      <x:c r="J9" s="1"/>
      <x:c r="K9" s="1"/>
      <x:c r="L9" s="1"/>
      <x:c r="M9" s="1"/>
      <x:c r="N9" s="1"/>
    </x:row>
    <x:row r="10" ht="56" customHeight="1">
      <x:c r="A10" s="49" t="str">
        <x:v>B04</x:v>
      </x:c>
      <x:c r="B10" s="49" t="str">
        <x:v>Стриминговый блог назвал лучшие комедии</x:v>
      </x:c>
      <x:c r="C10" s="50" t="str"/>
      <x:c r="D10" s="50" t="str"/>
      <x:c r="E10" s="50" t="str"/>
      <x:c r="F10" s="50" t="str"/>
      <x:c r="G10" s="50" t="str"/>
      <x:c r="H10" s="50" t="str"/>
      <x:c r="I10" s="50" t="str"/>
      <x:c r="J10" s="1"/>
      <x:c r="K10" s="1"/>
      <x:c r="L10" s="1"/>
      <x:c r="M10" s="1"/>
      <x:c r="N10" s="1"/>
    </x:row>
    <x:row r="11" ht="56" customHeight="1">
      <x:c r="A11" s="49" t="str">
        <x:v>B08</x:v>
      </x:c>
      <x:c r="B11" s="49" t="str">
        <x:v>GS Labs получила награду за платформу интерактивного телевидения</x:v>
      </x:c>
      <x:c r="C11" s="50" t="str"/>
      <x:c r="D11" s="50" t="str"/>
      <x:c r="E11" s="50" t="str"/>
      <x:c r="F11" s="50" t="str"/>
      <x:c r="G11" s="50" t="str"/>
      <x:c r="H11" s="50" t="str"/>
      <x:c r="I11" s="50" t="str"/>
      <x:c r="J11" s="1"/>
      <x:c r="K11" s="1"/>
      <x:c r="L11" s="1"/>
      <x:c r="M11" s="1"/>
      <x:c r="N11" s="1"/>
    </x:row>
    <x:row r="12" ht="56" customHeight="1">
      <x:c r="A12" s="49" t="str">
        <x:v>B05</x:v>
      </x:c>
      <x:c r="B12" s="49" t="str">
        <x:v>Курс по Python обновил учебную программу</x:v>
      </x:c>
      <x:c r="C12" s="50" t="str"/>
      <x:c r="D12" s="50" t="str"/>
      <x:c r="E12" s="50" t="str"/>
      <x:c r="F12" s="50" t="str"/>
      <x:c r="G12" s="50" t="str"/>
      <x:c r="H12" s="50" t="str"/>
      <x:c r="I12" s="50" t="str"/>
      <x:c r="J12" s="1"/>
      <x:c r="K12" s="1"/>
      <x:c r="L12" s="1"/>
      <x:c r="M12" s="1"/>
      <x:c r="N12" s="1"/>
    </x:row>
    <x:row r="13" ht="56" customHeight="1">
      <x:c r="A13" s="49" t="str">
        <x:v>B06</x:v>
      </x:c>
      <x:c r="B13" s="49" t="str">
        <x:v>Дизайнер представил умную лампу</x:v>
      </x:c>
      <x:c r="C13" s="50" t="str"/>
      <x:c r="D13" s="50" t="str"/>
      <x:c r="E13" s="50" t="str"/>
      <x:c r="F13" s="50" t="str"/>
      <x:c r="G13" s="50" t="str"/>
      <x:c r="H13" s="50" t="str"/>
      <x:c r="I13" s="50" t="str"/>
      <x:c r="J13" s="1"/>
      <x:c r="K13" s="1"/>
      <x:c r="L13" s="1"/>
      <x:c r="M13" s="1"/>
      <x:c r="N13" s="1"/>
    </x:row>
    <x:row r="14" ht="56" customHeight="1">
      <x:c r="A14" s="49" t="str">
        <x:v>B09</x:v>
      </x:c>
      <x:c r="B14" s="49" t="str">
        <x:v>Регион расширил субсидии производителям радиоэлектроники</x:v>
      </x:c>
      <x:c r="C14" s="50" t="str"/>
      <x:c r="D14" s="50" t="str"/>
      <x:c r="E14" s="50" t="str"/>
      <x:c r="F14" s="50" t="str"/>
      <x:c r="G14" s="50" t="str"/>
      <x:c r="H14" s="50" t="str"/>
      <x:c r="I14" s="50" t="str"/>
      <x:c r="J14" s="1"/>
      <x:c r="K14" s="1"/>
      <x:c r="L14" s="1"/>
      <x:c r="M14" s="1"/>
      <x:c r="N14" s="1"/>
    </x:row>
    <x:row r="15" ht="56" customHeight="1">
      <x:c r="A15" s="49" t="str">
        <x:v>B20</x:v>
      </x:c>
      <x:c r="B15" s="49" t="str">
        <x:v>Протокол форума операторов: спрос на единый API телеметрии</x:v>
      </x:c>
      <x:c r="C15" s="50" t="str"/>
      <x:c r="D15" s="50" t="str"/>
      <x:c r="E15" s="50" t="str"/>
      <x:c r="F15" s="50" t="str"/>
      <x:c r="G15" s="50" t="str"/>
      <x:c r="H15" s="50" t="str"/>
      <x:c r="I15" s="50" t="str"/>
      <x:c r="J15" s="1"/>
      <x:c r="K15" s="1"/>
      <x:c r="L15" s="1"/>
      <x:c r="M15" s="1"/>
      <x:c r="N15" s="1"/>
    </x:row>
    <x:row r="16" ht="56" customHeight="1">
      <x:c r="A16" s="49" t="str">
        <x:v>B10</x:v>
      </x:c>
      <x:c r="B16" s="49" t="str">
        <x:v>Исследователи раскрыли уязвимость медиаплеера OpenView</x:v>
      </x:c>
      <x:c r="C16" s="50" t="str"/>
      <x:c r="D16" s="50" t="str"/>
      <x:c r="E16" s="50" t="str"/>
      <x:c r="F16" s="50" t="str"/>
      <x:c r="G16" s="50" t="str"/>
      <x:c r="H16" s="50" t="str"/>
      <x:c r="I16" s="50" t="str"/>
      <x:c r="J16" s="1"/>
      <x:c r="K16" s="1"/>
      <x:c r="L16" s="1"/>
      <x:c r="M16" s="1"/>
      <x:c r="N16" s="1"/>
    </x:row>
    <x:row r="17" ht="56" customHeight="1">
      <x:c r="A17" s="49" t="str">
        <x:v>B21</x:v>
      </x:c>
      <x:c r="B17" s="49" t="str">
        <x:v>API телеметрии для теплиц</x:v>
      </x:c>
      <x:c r="C17" s="50" t="str"/>
      <x:c r="D17" s="50" t="str"/>
      <x:c r="E17" s="50" t="str"/>
      <x:c r="F17" s="50" t="str"/>
      <x:c r="G17" s="50" t="str"/>
      <x:c r="H17" s="50" t="str"/>
      <x:c r="I17" s="50" t="str"/>
      <x:c r="J17" s="1"/>
      <x:c r="K17" s="1"/>
      <x:c r="L17" s="1"/>
      <x:c r="M17" s="1"/>
      <x:c r="N17" s="1"/>
    </x:row>
    <x:row r="18" ht="56" customHeight="1">
      <x:c r="A18" s="49" t="str">
        <x:v>B11</x:v>
      </x:c>
      <x:c r="B18" s="49" t="str">
        <x:v>Опубликована концепция маркировки легального видеоконтента</x:v>
      </x:c>
      <x:c r="C18" s="50" t="str"/>
      <x:c r="D18" s="50" t="str"/>
      <x:c r="E18" s="50" t="str"/>
      <x:c r="F18" s="50" t="str"/>
      <x:c r="G18" s="50" t="str"/>
      <x:c r="H18" s="50" t="str"/>
      <x:c r="I18" s="50" t="str"/>
      <x:c r="J18" s="1"/>
      <x:c r="K18" s="1"/>
      <x:c r="L18" s="1"/>
      <x:c r="M18" s="1"/>
      <x:c r="N18" s="1"/>
    </x:row>
    <x:row r="19" ht="56" customHeight="1">
      <x:c r="A19" s="49" t="str">
        <x:v>B12</x:v>
      </x:c>
      <x:c r="B19" s="49" t="str">
        <x:v>Онлайн-кинотеатры готовят обязательную маркировку видео</x:v>
      </x:c>
      <x:c r="C19" s="50" t="str"/>
      <x:c r="D19" s="50" t="str"/>
      <x:c r="E19" s="50" t="str"/>
      <x:c r="F19" s="50" t="str"/>
      <x:c r="G19" s="50" t="str"/>
      <x:c r="H19" s="50" t="str"/>
      <x:c r="I19" s="50" t="str"/>
      <x:c r="J19" s="1"/>
      <x:c r="K19" s="1"/>
      <x:c r="L19" s="1"/>
      <x:c r="M19" s="1"/>
      <x:c r="N19" s="1"/>
    </x:row>
    <x:row r="20" ht="56" customHeight="1">
      <x:c r="A20" s="49" t="str">
        <x:v>B13</x:v>
      </x:c>
      <x:c r="B20" s="49" t="str">
        <x:v>Правообладатели поддержали тест маркировки</x:v>
      </x:c>
      <x:c r="C20" s="50" t="str"/>
      <x:c r="D20" s="50" t="str"/>
      <x:c r="E20" s="50" t="str"/>
      <x:c r="F20" s="50" t="str"/>
      <x:c r="G20" s="50" t="str"/>
      <x:c r="H20" s="50" t="str"/>
      <x:c r="I20" s="50" t="str"/>
      <x:c r="J20" s="1"/>
      <x:c r="K20" s="1"/>
      <x:c r="L20" s="1"/>
      <x:c r="M20" s="1"/>
      <x:c r="N20" s="1"/>
    </x:row>
    <x:row r="21" ht="56" customHeight="1">
      <x:c r="A21" s="49" t="str">
        <x:v>B14</x:v>
      </x:c>
      <x:c r="B21" s="49" t="str">
        <x:v>GS Labs и оператор «Орбита» начали технологический пилот</x:v>
      </x:c>
      <x:c r="C21" s="50" t="str"/>
      <x:c r="D21" s="50" t="str"/>
      <x:c r="E21" s="50" t="str"/>
      <x:c r="F21" s="50" t="str"/>
      <x:c r="G21" s="50" t="str"/>
      <x:c r="H21" s="50" t="str"/>
      <x:c r="I21" s="50" t="str"/>
      <x:c r="J21" s="1"/>
      <x:c r="K21" s="1"/>
      <x:c r="L21" s="1"/>
      <x:c r="M21" s="1"/>
      <x:c r="N21" s="1"/>
    </x:row>
    <x:row r="22" ht="56" customHeight="1">
      <x:c r="A22" s="49" t="str">
        <x:v>B15</x:v>
      </x:c>
      <x:c r="B22" s="49" t="str">
        <x:v>«Орбита» тестирует облачный интерфейс на 8 тысячах пользователей</x:v>
      </x:c>
      <x:c r="C22" s="50" t="str"/>
      <x:c r="D22" s="50" t="str"/>
      <x:c r="E22" s="50" t="str"/>
      <x:c r="F22" s="50" t="str"/>
      <x:c r="G22" s="50" t="str"/>
      <x:c r="H22" s="50" t="str"/>
      <x:c r="I22" s="50" t="str"/>
      <x:c r="J22" s="1"/>
      <x:c r="K22" s="1"/>
      <x:c r="L22" s="1"/>
      <x:c r="M22" s="1"/>
      <x:c r="N22" s="1"/>
    </x:row>
    <x:row r="23" ht="56" customHeight="1">
      <x:c r="A23" s="49" t="str">
        <x:v>B16</x:v>
      </x:c>
      <x:c r="B23" s="49" t="str">
        <x:v>Источник: «Орбита» уже выбрала GS Labs для всей сети</x:v>
      </x:c>
      <x:c r="C23" s="50" t="str"/>
      <x:c r="D23" s="50" t="str"/>
      <x:c r="E23" s="50" t="str"/>
      <x:c r="F23" s="50" t="str"/>
      <x:c r="G23" s="50" t="str"/>
      <x:c r="H23" s="50" t="str"/>
      <x:c r="I23" s="50" t="str"/>
      <x:c r="J23" s="1"/>
      <x:c r="K23" s="1"/>
      <x:c r="L23" s="1"/>
      <x:c r="M23" s="1"/>
      <x:c r="N23" s="1"/>
    </x:row>
    <x:row r="24" ht="56" customHeight="1">
      <x:c r="A24" s="49" t="str">
        <x:v>B22</x:v>
      </x:c>
      <x:c r="B24" s="49" t="str">
        <x:v>Архивная вакансия разработчика приставок</x:v>
      </x:c>
      <x:c r="C24" s="50" t="str"/>
      <x:c r="D24" s="50" t="str"/>
      <x:c r="E24" s="50" t="str"/>
      <x:c r="F24" s="50" t="str"/>
      <x:c r="G24" s="50" t="str"/>
      <x:c r="H24" s="50" t="str"/>
      <x:c r="I24" s="50" t="str"/>
      <x:c r="J24" s="1"/>
      <x:c r="K24" s="1"/>
      <x:c r="L24" s="1"/>
      <x:c r="M24" s="1"/>
      <x:c r="N24" s="1"/>
    </x:row>
    <x:row r="25" ht="56" customHeight="1">
      <x:c r="A25" s="49" t="str">
        <x:v>B18</x:v>
      </x:c>
      <x:c r="B25" s="49" t="str">
        <x:v>Доработанный проект правил безопасного обновления устройств</x:v>
      </x:c>
      <x:c r="C25" s="50" t="str"/>
      <x:c r="D25" s="50" t="str"/>
      <x:c r="E25" s="50" t="str"/>
      <x:c r="F25" s="50" t="str"/>
      <x:c r="G25" s="50" t="str"/>
      <x:c r="H25" s="50" t="str"/>
      <x:c r="I25" s="50" t="str"/>
      <x:c r="J25" s="1"/>
      <x:c r="K25" s="1"/>
      <x:c r="L25" s="1"/>
      <x:c r="M25" s="1"/>
      <x:c r="N25" s="1"/>
    </x:row>
    <x:row r="26" ht="56" customHeight="1">
      <x:c r="A26" s="52" t="str">
        <x:v>B19</x:v>
      </x:c>
      <x:c r="B26" s="52" t="str">
        <x:v>Правила обновления устройств уже требуют хранить журналы год</x:v>
      </x:c>
      <x:c r="C26" s="53" t="str"/>
      <x:c r="D26" s="53" t="str"/>
      <x:c r="E26" s="53" t="str"/>
      <x:c r="F26" s="53" t="str"/>
      <x:c r="G26" s="53" t="str"/>
      <x:c r="H26" s="53" t="str"/>
      <x:c r="I26" s="53" t="str"/>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row r="61">
      <x:c r="A61" s="1"/>
      <x:c r="B61" s="1"/>
      <x:c r="C61" s="1"/>
      <x:c r="D61" s="1"/>
      <x:c r="E61" s="1"/>
      <x:c r="F61" s="1"/>
      <x:c r="G61" s="1"/>
      <x:c r="H61" s="1"/>
      <x:c r="I61" s="1"/>
      <x:c r="J61" s="1"/>
      <x:c r="K61" s="1"/>
      <x:c r="L61" s="1"/>
      <x:c r="M61" s="1"/>
      <x:c r="N61" s="1"/>
    </x:row>
    <x:row r="62">
      <x:c r="A62" s="1"/>
      <x:c r="B62" s="1"/>
      <x:c r="C62" s="1"/>
      <x:c r="D62" s="1"/>
      <x:c r="E62" s="1"/>
      <x:c r="F62" s="1"/>
      <x:c r="G62" s="1"/>
      <x:c r="H62" s="1"/>
      <x:c r="I62" s="1"/>
      <x:c r="J62" s="1"/>
      <x:c r="K62" s="1"/>
      <x:c r="L62" s="1"/>
      <x:c r="M62" s="1"/>
      <x:c r="N62" s="1"/>
    </x:row>
    <x:row r="63">
      <x:c r="A63" s="1"/>
      <x:c r="B63" s="1"/>
      <x:c r="C63" s="1"/>
      <x:c r="D63" s="1"/>
      <x:c r="E63" s="1"/>
      <x:c r="F63" s="1"/>
      <x:c r="G63" s="1"/>
      <x:c r="H63" s="1"/>
      <x:c r="I63" s="1"/>
      <x:c r="J63" s="1"/>
      <x:c r="K63" s="1"/>
      <x:c r="L63" s="1"/>
      <x:c r="M63" s="1"/>
      <x:c r="N63" s="1"/>
    </x:row>
    <x:row r="64">
      <x:c r="A64" s="1"/>
      <x:c r="B64" s="1"/>
      <x:c r="C64" s="1"/>
      <x:c r="D64" s="1"/>
      <x:c r="E64" s="1"/>
      <x:c r="F64" s="1"/>
      <x:c r="G64" s="1"/>
      <x:c r="H64" s="1"/>
      <x:c r="I64" s="1"/>
      <x:c r="J64" s="1"/>
      <x:c r="K64" s="1"/>
      <x:c r="L64" s="1"/>
      <x:c r="M64" s="1"/>
      <x:c r="N64" s="1"/>
    </x:row>
    <x:row r="65">
      <x:c r="A65" s="1"/>
      <x:c r="B65" s="1"/>
      <x:c r="C65" s="1"/>
      <x:c r="D65" s="1"/>
      <x:c r="E65" s="1"/>
      <x:c r="F65" s="1"/>
      <x:c r="G65" s="1"/>
      <x:c r="H65" s="1"/>
      <x:c r="I65" s="1"/>
      <x:c r="J65" s="1"/>
      <x:c r="K65" s="1"/>
      <x:c r="L65" s="1"/>
      <x:c r="M65" s="1"/>
      <x:c r="N65" s="1"/>
    </x:row>
    <x:row r="66">
      <x:c r="A66" s="1"/>
      <x:c r="B66" s="1"/>
      <x:c r="C66" s="1"/>
      <x:c r="D66" s="1"/>
      <x:c r="E66" s="1"/>
      <x:c r="F66" s="1"/>
      <x:c r="G66" s="1"/>
      <x:c r="H66" s="1"/>
      <x:c r="I66" s="1"/>
      <x:c r="J66" s="1"/>
      <x:c r="K66" s="1"/>
      <x:c r="L66" s="1"/>
      <x:c r="M66" s="1"/>
      <x:c r="N66" s="1"/>
    </x:row>
    <x:row r="67">
      <x:c r="A67" s="1"/>
      <x:c r="B67" s="1"/>
      <x:c r="C67" s="1"/>
      <x:c r="D67" s="1"/>
      <x:c r="E67" s="1"/>
      <x:c r="F67" s="1"/>
      <x:c r="G67" s="1"/>
      <x:c r="H67" s="1"/>
      <x:c r="I67" s="1"/>
      <x:c r="J67" s="1"/>
      <x:c r="K67" s="1"/>
      <x:c r="L67" s="1"/>
      <x:c r="M67" s="1"/>
      <x:c r="N67" s="1"/>
    </x:row>
    <x:row r="68">
      <x:c r="A68" s="1"/>
      <x:c r="B68" s="1"/>
      <x:c r="C68" s="1"/>
      <x:c r="D68" s="1"/>
      <x:c r="E68" s="1"/>
      <x:c r="F68" s="1"/>
      <x:c r="G68" s="1"/>
      <x:c r="H68" s="1"/>
      <x:c r="I68" s="1"/>
      <x:c r="J68" s="1"/>
      <x:c r="K68" s="1"/>
      <x:c r="L68" s="1"/>
      <x:c r="M68" s="1"/>
      <x:c r="N68" s="1"/>
    </x:row>
    <x:row r="69">
      <x:c r="A69" s="1"/>
      <x:c r="B69" s="1"/>
      <x:c r="C69" s="1"/>
      <x:c r="D69" s="1"/>
      <x:c r="E69" s="1"/>
      <x:c r="F69" s="1"/>
      <x:c r="G69" s="1"/>
      <x:c r="H69" s="1"/>
      <x:c r="I69" s="1"/>
      <x:c r="J69" s="1"/>
      <x:c r="K69" s="1"/>
      <x:c r="L69" s="1"/>
      <x:c r="M69" s="1"/>
      <x:c r="N69" s="1"/>
    </x:row>
    <x:row r="70">
      <x:c r="A70" s="1"/>
      <x:c r="B70" s="1"/>
      <x:c r="C70" s="1"/>
      <x:c r="D70" s="1"/>
      <x:c r="E70" s="1"/>
      <x:c r="F70" s="1"/>
      <x:c r="G70" s="1"/>
      <x:c r="H70" s="1"/>
      <x:c r="I70" s="1"/>
      <x:c r="J70" s="1"/>
      <x:c r="K70" s="1"/>
      <x:c r="L70" s="1"/>
      <x:c r="M70" s="1"/>
      <x:c r="N70" s="1"/>
    </x:row>
    <x:row r="71">
      <x:c r="A71" s="1"/>
      <x:c r="B71" s="1"/>
      <x:c r="C71" s="1"/>
      <x:c r="D71" s="1"/>
      <x:c r="E71" s="1"/>
      <x:c r="F71" s="1"/>
      <x:c r="G71" s="1"/>
      <x:c r="H71" s="1"/>
      <x:c r="I71" s="1"/>
      <x:c r="J71" s="1"/>
      <x:c r="K71" s="1"/>
      <x:c r="L71" s="1"/>
      <x:c r="M71" s="1"/>
      <x:c r="N71" s="1"/>
    </x:row>
    <x:row r="72">
      <x:c r="A72" s="1"/>
      <x:c r="B72" s="1"/>
      <x:c r="C72" s="1"/>
      <x:c r="D72" s="1"/>
      <x:c r="E72" s="1"/>
      <x:c r="F72" s="1"/>
      <x:c r="G72" s="1"/>
      <x:c r="H72" s="1"/>
      <x:c r="I72" s="1"/>
      <x:c r="J72" s="1"/>
      <x:c r="K72" s="1"/>
      <x:c r="L72" s="1"/>
      <x:c r="M72" s="1"/>
      <x:c r="N72" s="1"/>
    </x:row>
    <x:row r="73">
      <x:c r="A73" s="1"/>
      <x:c r="B73" s="1"/>
      <x:c r="C73" s="1"/>
      <x:c r="D73" s="1"/>
      <x:c r="E73" s="1"/>
      <x:c r="F73" s="1"/>
      <x:c r="G73" s="1"/>
      <x:c r="H73" s="1"/>
      <x:c r="I73" s="1"/>
      <x:c r="J73" s="1"/>
      <x:c r="K73" s="1"/>
      <x:c r="L73" s="1"/>
      <x:c r="M73" s="1"/>
      <x:c r="N73" s="1"/>
    </x:row>
    <x:row r="74">
      <x:c r="A74" s="1"/>
      <x:c r="B74" s="1"/>
      <x:c r="C74" s="1"/>
      <x:c r="D74" s="1"/>
      <x:c r="E74" s="1"/>
      <x:c r="F74" s="1"/>
      <x:c r="G74" s="1"/>
      <x:c r="H74" s="1"/>
      <x:c r="I74" s="1"/>
      <x:c r="J74" s="1"/>
      <x:c r="K74" s="1"/>
      <x:c r="L74" s="1"/>
      <x:c r="M74" s="1"/>
      <x:c r="N74" s="1"/>
    </x:row>
    <x:row r="75">
      <x:c r="A75" s="1"/>
      <x:c r="B75" s="1"/>
      <x:c r="C75" s="1"/>
      <x:c r="D75" s="1"/>
      <x:c r="E75" s="1"/>
      <x:c r="F75" s="1"/>
      <x:c r="G75" s="1"/>
      <x:c r="H75" s="1"/>
      <x:c r="I75" s="1"/>
      <x:c r="J75" s="1"/>
      <x:c r="K75" s="1"/>
      <x:c r="L75" s="1"/>
      <x:c r="M75" s="1"/>
      <x:c r="N75" s="1"/>
    </x:row>
    <x:row r="76">
      <x:c r="A76" s="1"/>
      <x:c r="B76" s="1"/>
      <x:c r="C76" s="1"/>
      <x:c r="D76" s="1"/>
      <x:c r="E76" s="1"/>
      <x:c r="F76" s="1"/>
      <x:c r="G76" s="1"/>
      <x:c r="H76" s="1"/>
      <x:c r="I76" s="1"/>
      <x:c r="J76" s="1"/>
      <x:c r="K76" s="1"/>
      <x:c r="L76" s="1"/>
      <x:c r="M76" s="1"/>
      <x:c r="N76" s="1"/>
    </x:row>
    <x:row r="77">
      <x:c r="A77" s="1"/>
      <x:c r="B77" s="1"/>
      <x:c r="C77" s="1"/>
      <x:c r="D77" s="1"/>
      <x:c r="E77" s="1"/>
      <x:c r="F77" s="1"/>
      <x:c r="G77" s="1"/>
      <x:c r="H77" s="1"/>
      <x:c r="I77" s="1"/>
      <x:c r="J77" s="1"/>
      <x:c r="K77" s="1"/>
      <x:c r="L77" s="1"/>
      <x:c r="M77" s="1"/>
      <x:c r="N77" s="1"/>
    </x:row>
    <x:row r="78">
      <x:c r="A78" s="1"/>
      <x:c r="B78" s="1"/>
      <x:c r="C78" s="1"/>
      <x:c r="D78" s="1"/>
      <x:c r="E78" s="1"/>
      <x:c r="F78" s="1"/>
      <x:c r="G78" s="1"/>
      <x:c r="H78" s="1"/>
      <x:c r="I78" s="1"/>
      <x:c r="J78" s="1"/>
      <x:c r="K78" s="1"/>
      <x:c r="L78" s="1"/>
      <x:c r="M78" s="1"/>
      <x:c r="N78" s="1"/>
    </x:row>
    <x:row r="79">
      <x:c r="A79" s="1"/>
      <x:c r="B79" s="1"/>
      <x:c r="C79" s="1"/>
      <x:c r="D79" s="1"/>
      <x:c r="E79" s="1"/>
      <x:c r="F79" s="1"/>
      <x:c r="G79" s="1"/>
      <x:c r="H79" s="1"/>
      <x:c r="I79" s="1"/>
      <x:c r="J79" s="1"/>
      <x:c r="K79" s="1"/>
      <x:c r="L79" s="1"/>
      <x:c r="M79" s="1"/>
      <x:c r="N79" s="1"/>
    </x:row>
    <x:row r="80">
      <x:c r="A80" s="1"/>
      <x:c r="B80" s="1"/>
      <x:c r="C80" s="1"/>
      <x:c r="D80" s="1"/>
      <x:c r="E80" s="1"/>
      <x:c r="F80" s="1"/>
      <x:c r="G80" s="1"/>
      <x:c r="H80" s="1"/>
      <x:c r="I80" s="1"/>
      <x:c r="J80" s="1"/>
      <x:c r="K80" s="1"/>
      <x:c r="L80" s="1"/>
      <x:c r="M80" s="1"/>
      <x:c r="N80" s="1"/>
    </x:row>
  </x:sheetData>
  <x:mergeCells>
    <x:mergeCell ref="A1:I1"/>
    <x:mergeCell ref="A2:I2"/>
  </x:mergeCells>
  <x:dataValidations count="4">
    <x:dataValidation type="list" sqref="C5:C26">
      <x:formula1>"релевантно,погранично,нерелевантно"</x:formula1>
    </x:dataValidation>
    <x:dataValidation type="list" sqref="D5:D26">
      <x:formula1>"low,medium,high,critical"</x:formula1>
    </x:dataValidation>
    <x:dataValidation type="list" sqref="E5:E26">
      <x:formula1>"PR,GR,BOTH,HEAD,NONE"</x:formula1>
    </x:dataValidation>
    <x:dataValidation type="list" sqref="G5:G26">
      <x:formula1>"да,нет"</x:formula1>
    </x:dataValidation>
  </x:dataValidations>
  <x:pageMargins left="0.7" right="0.7" top="0.75" bottom="0.75" header="0.3" footer="0.3"/>
</x:worksheet>
</file>