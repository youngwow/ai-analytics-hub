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irina/Desktop/"/>
    </mc:Choice>
  </mc:AlternateContent>
  <xr:revisionPtr revIDLastSave="0" documentId="8_{6BA2FE08-D363-1B49-8CA6-4D462BCEE4FD}" xr6:coauthVersionLast="47" xr6:coauthVersionMax="47" xr10:uidLastSave="{00000000-0000-0000-0000-000000000000}"/>
  <bookViews>
    <workbookView xWindow="-3020" yWindow="-21600" windowWidth="38400" windowHeight="21600" tabRatio="500" activeTab="6" xr2:uid="{00000000-000D-0000-FFFF-FFFF00000000}"/>
  </bookViews>
  <sheets>
    <sheet name="Титул" sheetId="1" r:id="rId1"/>
    <sheet name="НПА" sheetId="2" r:id="rId2"/>
    <sheet name="Проекты и анонсы" sheetId="3" r:id="rId3"/>
    <sheet name="Отраслевые новости" sheetId="4" r:id="rId4"/>
    <sheet name="Методика" sheetId="5" r:id="rId5"/>
    <sheet name="Источники" sheetId="6" r:id="rId6"/>
    <sheet name="Ссылки мониторинга" sheetId="7" r:id="rId7"/>
  </sheets>
  <definedNames>
    <definedName name="_xlnm._FilterDatabase" localSheetId="5" hidden="1">Источники!$A$3:$C$39</definedName>
    <definedName name="_xlnm._FilterDatabase" localSheetId="1" hidden="1">НПА!$A$3:$P$11</definedName>
    <definedName name="_xlnm._FilterDatabase" localSheetId="3" hidden="1">'Отраслевые новости'!$A$3:$L$14</definedName>
    <definedName name="_xlnm._FilterDatabase" localSheetId="2" hidden="1">'Проекты и анонсы'!$A$3:$P$26</definedName>
    <definedName name="_xlnm._FilterDatabase" localSheetId="6" hidden="1">'Ссылки мониторинга'!$A$3:$C$13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7" i="5" l="1"/>
  <c r="B10" i="5"/>
  <c r="J14" i="4"/>
  <c r="K14" i="4" s="1"/>
  <c r="J13" i="4"/>
  <c r="K13" i="4" s="1"/>
  <c r="J12" i="4"/>
  <c r="K12" i="4" s="1"/>
  <c r="J11" i="4"/>
  <c r="K11" i="4" s="1"/>
  <c r="J10" i="4"/>
  <c r="K10" i="4" s="1"/>
  <c r="J9" i="4"/>
  <c r="K9" i="4" s="1"/>
  <c r="J8" i="4"/>
  <c r="K8" i="4" s="1"/>
  <c r="J7" i="4"/>
  <c r="K7" i="4" s="1"/>
  <c r="J6" i="4"/>
  <c r="K6" i="4" s="1"/>
  <c r="J5" i="4"/>
  <c r="K5" i="4" s="1"/>
  <c r="J4" i="4"/>
  <c r="K4" i="4" s="1"/>
  <c r="L26" i="3"/>
  <c r="M26" i="3" s="1"/>
  <c r="O26" i="3" s="1"/>
  <c r="L25" i="3"/>
  <c r="M25" i="3" s="1"/>
  <c r="O25" i="3" s="1"/>
  <c r="L24" i="3"/>
  <c r="M24" i="3" s="1"/>
  <c r="O24" i="3" s="1"/>
  <c r="L23" i="3"/>
  <c r="M23" i="3" s="1"/>
  <c r="O23" i="3" s="1"/>
  <c r="L22" i="3"/>
  <c r="M22" i="3" s="1"/>
  <c r="O22" i="3" s="1"/>
  <c r="L21" i="3"/>
  <c r="M21" i="3" s="1"/>
  <c r="O21" i="3" s="1"/>
  <c r="L20" i="3"/>
  <c r="M20" i="3" s="1"/>
  <c r="O20" i="3" s="1"/>
  <c r="L19" i="3"/>
  <c r="M19" i="3" s="1"/>
  <c r="O19" i="3" s="1"/>
  <c r="L18" i="3"/>
  <c r="M18" i="3" s="1"/>
  <c r="O18" i="3" s="1"/>
  <c r="L17" i="3"/>
  <c r="M17" i="3" s="1"/>
  <c r="O17" i="3" s="1"/>
  <c r="L16" i="3"/>
  <c r="M16" i="3" s="1"/>
  <c r="O16" i="3" s="1"/>
  <c r="L15" i="3"/>
  <c r="M15" i="3" s="1"/>
  <c r="O15" i="3" s="1"/>
  <c r="L14" i="3"/>
  <c r="M14" i="3" s="1"/>
  <c r="O14" i="3" s="1"/>
  <c r="L13" i="3"/>
  <c r="M13" i="3" s="1"/>
  <c r="O13" i="3" s="1"/>
  <c r="L12" i="3"/>
  <c r="M12" i="3" s="1"/>
  <c r="O12" i="3" s="1"/>
  <c r="L11" i="3"/>
  <c r="M11" i="3" s="1"/>
  <c r="O11" i="3" s="1"/>
  <c r="L10" i="3"/>
  <c r="M10" i="3" s="1"/>
  <c r="O10" i="3" s="1"/>
  <c r="L9" i="3"/>
  <c r="M9" i="3" s="1"/>
  <c r="O9" i="3" s="1"/>
  <c r="L8" i="3"/>
  <c r="M8" i="3" s="1"/>
  <c r="O8" i="3" s="1"/>
  <c r="L7" i="3"/>
  <c r="M7" i="3" s="1"/>
  <c r="O7" i="3" s="1"/>
  <c r="L6" i="3"/>
  <c r="M6" i="3" s="1"/>
  <c r="O6" i="3" s="1"/>
  <c r="L5" i="3"/>
  <c r="M5" i="3" s="1"/>
  <c r="O5" i="3" s="1"/>
  <c r="L4" i="3"/>
  <c r="M4" i="3" s="1"/>
  <c r="O4" i="3" s="1"/>
  <c r="L11" i="2"/>
  <c r="M11" i="2" s="1"/>
  <c r="O11" i="2" s="1"/>
  <c r="L10" i="2"/>
  <c r="M10" i="2" s="1"/>
  <c r="O10" i="2" s="1"/>
  <c r="L9" i="2"/>
  <c r="M9" i="2" s="1"/>
  <c r="O9" i="2" s="1"/>
  <c r="L8" i="2"/>
  <c r="M8" i="2" s="1"/>
  <c r="O8" i="2" s="1"/>
  <c r="L7" i="2"/>
  <c r="M7" i="2" s="1"/>
  <c r="O7" i="2" s="1"/>
  <c r="L6" i="2"/>
  <c r="M6" i="2" s="1"/>
  <c r="O6" i="2" s="1"/>
  <c r="L5" i="2"/>
  <c r="M5" i="2" s="1"/>
  <c r="O5" i="2" s="1"/>
  <c r="L4" i="2"/>
  <c r="M4" i="2" s="1"/>
  <c r="O4" i="2" s="1"/>
</calcChain>
</file>

<file path=xl/sharedStrings.xml><?xml version="1.0" encoding="utf-8"?>
<sst xmlns="http://schemas.openxmlformats.org/spreadsheetml/2006/main" count="526" uniqueCount="443">
  <si>
    <t>Реестр оценки влияния НПА и отраслевых событий</t>
  </si>
  <si>
    <t>Обновление за период 03–28.08.2026 · версия от 28.08.2026 · добавлены карточки № 44–46 (законопроект об обязательной маркировке ИИ-контента — внесён в ГД 17.08.2026; обновление проверочного листа Роскомнадзора по ПД; предложение Ассоциации больших данных о PETs-обработке ПД для обучения ИИ)</t>
  </si>
  <si>
    <t>Вкладка</t>
  </si>
  <si>
    <t>Содержание</t>
  </si>
  <si>
    <t>НПА</t>
  </si>
  <si>
    <t>Утверждённые и действующие документы: федеральные законы (№ 243-ФЗ, № 279-ФЗ, № 295-ФЗ, № 296-ФЗ), действующие сервисы и пилоты. Оценка по методике К1–К6.</t>
  </si>
  <si>
    <t>Проекты и анонсы</t>
  </si>
  <si>
    <t>Законопроекты, проекты НПА на публичном обсуждении, поручения и анонсы мер. При утверждении документа карточка переносится на лист «НПА».</t>
  </si>
  <si>
    <t>Отраслевые новости</t>
  </si>
  <si>
    <t>Рыночные события и судебная практика. Отдельное ранжирование — индекс актуальности (Н1–Н4: актуальность, релевантность GS Labs, масштаб, динамика).</t>
  </si>
  <si>
    <t>Методика</t>
  </si>
  <si>
    <t>Критерии К1–К6 и веса, шкала ИВ и категории, правила эскалации; методика индекса актуальности для новостей.</t>
  </si>
  <si>
    <t>Источники</t>
  </si>
  <si>
    <t>Источники, использованные при обновлении реестра за период.</t>
  </si>
  <si>
    <t>Ссылки мониторинга</t>
  </si>
  <si>
    <t>Каналы регулярного мониторинга (Telegram, дайджесты).</t>
  </si>
  <si>
    <t>Легенда</t>
  </si>
  <si>
    <t>ТРЕБУЕТ ОБНОВЛЕНИЯ — изменилась стадия/реквизиты акта, внесите правки в карточку</t>
  </si>
  <si>
    <t>Уточнение фактуры по существующей карточке (новые данные, сроки)</t>
  </si>
  <si>
    <t>Новая карточка, добавленная при текущем обновлении (на этой версии — 25–28.08.2026)</t>
  </si>
  <si>
    <t>Ячейки, заполняемые вручную (стадия, баллы, флаг эскалации, действия, сроки)</t>
  </si>
  <si>
    <t>Нумерация карточек сквозная (1–46) и сохранена от исходного реестра для трассируемости. Фильтры настроены на каждом листе (строка заголовков).</t>
  </si>
  <si>
    <t>GS Labs · Реестр оценки влияния — НПА (утверждённые документы)</t>
  </si>
  <si>
    <t>Утверждённые и действующие акты. Фильтры в строке заголовков; светло-зелёные ячейки — заполняемые вручную. Методика — одноимённый лист.</t>
  </si>
  <si>
    <t>№</t>
  </si>
  <si>
    <t>Идентификатор акта</t>
  </si>
  <si>
    <t>Тип документа</t>
  </si>
  <si>
    <t>Стадия акта</t>
  </si>
  <si>
    <t>Источник</t>
  </si>
  <si>
    <t>К1 Применимость
(0–3)</t>
  </si>
  <si>
    <t>К2 Юр. сила
(0–3)</t>
  </si>
  <si>
    <t>К3 Финансы
(0–3)</t>
  </si>
  <si>
    <t>К4 Опер. сложность
(0–3)</t>
  </si>
  <si>
    <t>К5 Юр./репутац. риск
(0–3)</t>
  </si>
  <si>
    <t>К6 Срочность
(0–3)</t>
  </si>
  <si>
    <t>Итоговый индекс
(0–100)</t>
  </si>
  <si>
    <t>Категория
(по индексу)</t>
  </si>
  <si>
    <t>Флаг
эскалации</t>
  </si>
  <si>
    <t>Итоговая
категория</t>
  </si>
  <si>
    <t>Суть / содержание</t>
  </si>
  <si>
    <t>О поддержке развития технологий ИИ в РФ (ФЗ № 243-ФЗ)</t>
  </si>
  <si>
    <t>Федеральный закон</t>
  </si>
  <si>
    <t>Принят 26.07.2026, в силу с 01.09.2026</t>
  </si>
  <si>
    <t>https://sozd.duma.gov.ru/bill/1271570-8</t>
  </si>
  <si>
    <t>Нет</t>
  </si>
  <si>
    <t>ФЗ № 243-ФЗ от 26.07.2026: рамочное регулирование ИИ, режим для больших фундаментальных моделей (≥1 млрд параметров); маркировка ИИ-контента (ст. 9) и уведомление пользователей о правах на результат генерации (ст. 10) — с 01.03.2027; переходный период до 09.2032.</t>
  </si>
  <si>
    <t>Упрощение закупочных процедур (ФЗ № 279-ФЗ, изм. в 44-ФЗ)</t>
  </si>
  <si>
    <t>Принят 04.08.2026, в силу с 01.10.2026</t>
  </si>
  <si>
    <t>http://duma.gov.ru/news/63938/</t>
  </si>
  <si>
    <t>ФЗ № 279-ФЗ от 04.08.2026: лимит электронного запроса котировок повышен до 20 млн ₽ (норма до 31.12.2027), закупки у МСП/СОНКО — до 30 млн ₽ (с 01.01.2027), расширены основания изменения контрактов, сокращён срок согласования закупки у единственного поставщика.</t>
  </si>
  <si>
    <t>Налоговая медиация для IT-отрасли (пилот ФНС)</t>
  </si>
  <si>
    <t>Пилот/сервис ФНС</t>
  </si>
  <si>
    <t>Действует</t>
  </si>
  <si>
    <t>https://palata-nk.ru/upload/pdf/%D0%A0%D0%B0%D1%81%D0%BF%D0%BE%D1%80%D</t>
  </si>
  <si>
    <t>Пилот ФНС: крупные ИТ-компании могут бесплатно привлекать независимого медиатора на досудебной стадии налогового спора.</t>
  </si>
  <si>
    <t>ФЗ № 296-ФЗ — патентная охрана алгоритмов и интерфейсов программ</t>
  </si>
  <si>
    <t>Принят 04.08.2026, в силу с 01.01.2027</t>
  </si>
  <si>
    <t>https://mfd.ru/news/view/?id=2779850</t>
  </si>
  <si>
    <t>Изменения в ГК РФ: изобретением/полезной моделью может быть признано техническое решение, реализуемое программным способом (алгоритмы); промышленным образцом — графический интерфейс программы (визуальное отображение для взаимодействия человека с программой).</t>
  </si>
  <si>
    <t>ФЗ № 295-ФЗ — адм. ответственность за нарушения закона о платформенной экономике</t>
  </si>
  <si>
    <t>Федеральный закон (изм. в КоАП)</t>
  </si>
  <si>
    <t>Принят и подписан 04.08.2026</t>
  </si>
  <si>
    <t>https://www.klerk.ru/cdoc/view/cdbcb718c9a27fad70e808103ccd965b/</t>
  </si>
  <si>
    <t>КоАП дополнен составами о нарушениях ФЗ № 289-ФЗ о платформенной экономике (в силу с 01.10.2026): штрафы для операторов посреднических цифровых платформ до 500 тыс. ₽ — за дефекты карточек товаров, необоснованное ограничение доступа партнёров, нарушения поисковой выдачи и договорных требований.</t>
  </si>
  <si>
    <t>Постановление Правительства № 402 от 13.04.2026 — отраслевые особенности категорирования КИИ в сфере связи</t>
  </si>
  <si>
    <t>Постановление Правительства</t>
  </si>
  <si>
    <t>Принято, в силу с 01.09.2026</t>
  </si>
  <si>
    <t>https://passwork.ru/blog/importozamieshchieniie-kii-v-2026/</t>
  </si>
  <si>
    <t>Первый отраслевой акт по 58-ФЗ: определяет отраслевые признаки значимости и порядок расчёта показателей критериев значимости для объектов КИИ в сфере связи. Системы условного доступа к телерадиовещанию уже включены в перечень типовых отраслевых объектов КИИ (распоряжение № 360-р от 26.02.2026).</t>
  </si>
  <si>
    <t>Постановление Правительства № 1937 от 28.11.2025 — новые правила реестра российского ПО (совместимость с доверенными ОС)</t>
  </si>
  <si>
    <t>Действует с 01.03.2026; поэтапные требования с 01.09.2026</t>
  </si>
  <si>
    <t>https://www.pgplaw.ru/analytics-and-brochures/alerts/pravila-vedeniya-reestra-rossiyskogo-po/</t>
  </si>
  <si>
    <t>Обязательная совместимость включённого в реестр ПО минимум с двумя доверенными российскими ОС: с 01.09.2026 — офисное ПО; с 01.01.2027 — серверное, СУБД, средства разработки, виртуализация, мониторинг; с 01.06.2027 — прикладное и отраслевое ПО, средства ИБ; с 01.01.2028 — промышленное. Ежегодное обновление сведений до 1 июня; отметка о доверенном ПО — преимущество в закупках 44-ФЗ/223-ФЗ.</t>
  </si>
  <si>
    <t>https://www.vedomosti.ru/technology/articles/2026/06/09/1204423-tehnologicheskii-sbor-zapustyat-s-dekabrya</t>
  </si>
  <si>
    <t>Указ Президента РФ от 24.08.2026 № 604 «О мерах по обеспечению безопасности объектов критической инфраструктуры РФ»</t>
  </si>
  <si>
    <t>Указ Президента (подписан, действует)</t>
  </si>
  <si>
    <t>Подписан и опубликован 24.08.2026; в силу со дня официального опубликования</t>
  </si>
  <si>
    <t>https://www.garant.ru/hotlaw/federal/2212104/</t>
  </si>
  <si>
    <t>При непринятии/несвоевременном принятии хозяйствующим субъектом мер по обеспечению безопасности объектов критической инфраструктуры (в т.ч. неэффективности мер против атак БПЛА, несвоевременном восстановлении работы) по решению Правительства на основании поручения Президента вводится временное управление имуществом, ценными бумагами/долями и имущественными правами владельца. Временный управляющий — Росимущество (или иное лицо по решению Правительства); полномочия собственника без права распоряжения. Под объектами КИ — объекты ТЭК, промышленные объекты, объекты связи, коммунальной, транспортной, логистической инфраструктуры, энергетики (вкл. атомную), жизнеобеспечения, критически важные и потенциально опасные объекты. Принят «в связи с нарастанием угроз безопасности объектов КИ в период СВО».</t>
  </si>
  <si>
    <t>GS Labs · Реестр оценки влияния — Проекты НПА и анонсы</t>
  </si>
  <si>
    <t>Законопроекты, проекты НПА на обсуждении, поручения и анонсы мер. При изменении стадии документа переносите карточку на лист «НПА» и переоцените К2.</t>
  </si>
  <si>
    <t>Законопроект CAS DRM (№ 1215252-8)</t>
  </si>
  <si>
    <t>Законопроект (внесён в ГД)</t>
  </si>
  <si>
    <t>Законопроект внесён, I чтение — осенняя сессия 2026</t>
  </si>
  <si>
    <t>https://sozd.duma.gov.ru/bill/1215252-8</t>
  </si>
  <si>
    <t>Да</t>
  </si>
  <si>
    <t>Обязательный переход операторов платного ТВ, вещателей и аудиовизуальных сервисов на системы условного доступа и DRM из реестра российского ПО с 01.01.2027; при исключении используемой системы из реестра — 6 месяцев на замену и перевод абонентов.</t>
  </si>
  <si>
    <t>Разработаны показатели по внедрению ИИ для всех отраслей экономики</t>
  </si>
  <si>
    <t>Анонс (показатели Правительства)</t>
  </si>
  <si>
    <t>Анонс</t>
  </si>
  <si>
    <t>http://government.ru/news/59344/</t>
  </si>
  <si>
    <t>Правительство разработало систему показателей внедрения ИИ для отраслей экономики; при госзаказе на ИИ-продукты потребуется измеримый экономический эффект.</t>
  </si>
  <si>
    <t>Меры поддержки от ФРП и «умный протекционизм»</t>
  </si>
  <si>
    <t>Анонс (меры поддержки)</t>
  </si>
  <si>
    <t>http://government.ru/news/59377/</t>
  </si>
  <si>
    <t>Переориентация льготных займов ФРП под задачи нацпроектов технологического лидерства; «умный протекционизм»: запрет заёмщикам закупать импортное оборудование при наличии российского аналога, ставка 1% при покупке отечественных станков и роботов.</t>
  </si>
  <si>
    <t>Налоговые льготы и поддержка для ИИ и ИТ-отрасли</t>
  </si>
  <si>
    <t>Анонс (налоговые меры)</t>
  </si>
  <si>
    <t>Анонс (обсуждение пакета)</t>
  </si>
  <si>
    <t>https://www.interfax.ru/business/1103270</t>
  </si>
  <si>
    <t>Обсуждаемый пакет: повышающие коэффициенты к затратам на разработку и применение ИИ (включая покупку оборудования), спецамортизация ОС для ИИ, льготный НДС на услуги разработки ИИ и удалённого доступа к ИИ-платформам, расширение ИТ-льгот на компании, внедряющие ИИ.</t>
  </si>
  <si>
    <t>ГСС и КБ (законопроект о Государственной системе связи)</t>
  </si>
  <si>
    <t>Проект закона (regulation.gov.ru)</t>
  </si>
  <si>
    <t>Проект НПА на обсуждении</t>
  </si>
  <si>
    <t>https://regulation.gov.ru/projects/162556/</t>
  </si>
  <si>
    <t>Вводится правовое регулирование Государственной системы связи (ГСС), определяются категории пользователей (госорганы и субъекты КИИ), усиливается контроль.</t>
  </si>
  <si>
    <t>Доктрина противодействия правонарушениям с использованием ИКТ (2027–2035)</t>
  </si>
  <si>
    <t>Стратегический документ (доктрина)</t>
  </si>
  <si>
    <t>Доктрина (направлена на реализацию)</t>
  </si>
  <si>
    <t>https://digital.gov.ru/documents/doktrina-razvitiya-sistemy-protivodej</t>
  </si>
  <si>
    <t>Доктрина на 2027–2035 гг.: цели по борьбе с киберпреступностью, сокращению оборота ПД, развитию государственно-частного партнёрства, подготовке кадров.</t>
  </si>
  <si>
    <t>Проект приказа ФСТЭК «О защите ПД»</t>
  </si>
  <si>
    <t>Проект приказа (ФСТЭК)</t>
  </si>
  <si>
    <t>Обсуждение завершено 08.08.2026; в силу с 01.09.2026</t>
  </si>
  <si>
    <t>https://regulation.gov.ru/projects/169583/</t>
  </si>
  <si>
    <t>Проект приказа ФСТЭК (замена приказа № 21): риск-ориентированная модель мер защиты, блок защиты ПД при использовании ИИ, обязательная оценка уровня зрелости (до начала обработки, не реже 1 раза в 3 года, после инцидентов), требования к подрядчикам, взаимодействие с ГосСОПКА.</t>
  </si>
  <si>
    <t>Проект ГОСТ Р «Безопасная разработка ПО с использованием ИИ» (ТК 362)</t>
  </si>
  <si>
    <t>Проект стандарта (ГОСТ Р)</t>
  </si>
  <si>
    <t>Публичное обсуждение до 17.09.2026</t>
  </si>
  <si>
    <t>https://fstec.ru/tk-362/standarty/proekty/proekt-natsionalnogo-standar</t>
  </si>
  <si>
    <t>Проект стандарта ТК 362: единые требования к безопасной разработке ИИ-систем — ППК (машиночитаемый перечень программных компонентов), управление датасетами, защита от отравления данных, контроль цепочек поставок данных и моделей, локализация инфраструктуры обучения в РФ.</t>
  </si>
  <si>
    <t>Законопроект о едином тарифе страховых взносов для IT (7,6%) (№ 1286413-8)</t>
  </si>
  <si>
    <t>Внесён 10.07.2026, I чтение не назначено</t>
  </si>
  <si>
    <t>https://sozd.duma.gov.ru/bill/1286413-8</t>
  </si>
  <si>
    <t>Предлагается единый тариф 30% для всех выплат (вместо регрессивной шкалы) и единый пониженный тариф 7,6% для ИТ-компаний, НКО и резидентов ОЭЗ — без привязки к предельной базе.</t>
  </si>
  <si>
    <t>Проект постановления о предустановке ИИ «системных помощников» на устройства (Минцифры)</t>
  </si>
  <si>
    <t>Проект постановления Правительства</t>
  </si>
  <si>
    <t>Публичное обсуждение (с 03.08.2026)</t>
  </si>
  <si>
    <t>https://www.cnews.ru/news/top/2026-08-04_v_rossii_vvodyat_obyazatelnuyu</t>
  </si>
  <si>
    <t>Новый класс предустанавливаемого ПО — «системный помощник» на базе ИИ: обязательный экран выбора при первом включении устройства, возможность отказа, равные условия для всех сервисов из перечня, бесплатная предустановленная версия.</t>
  </si>
  <si>
    <t>«Антифрод 3.0»: единая платформа управления согласиями на обработку ПД (Минцифры)</t>
  </si>
  <si>
    <t>Пакет мер (обсуждение)</t>
  </si>
  <si>
    <t>Обсуждение (не внесён в ГД)</t>
  </si>
  <si>
    <t>https://www.kommersant.ru/doc/8861657</t>
  </si>
  <si>
    <t>Третий антифрод-пакет: единая платформа управления согласиями граждан на обработку ПД — все 2,6 млн операторов должны будут передавать сведения о согласиях; граждане смогут отзывать их «в одном окне». Против — ЦБ и Минэкономразвития; бизнес оценивает переходный период в 12–18 мес.</t>
  </si>
  <si>
    <t>Поручения Правительства по итогам ЦИПР-2026 (гранты до 80%, приоритет российского ИИ, УСН для ИТ)</t>
  </si>
  <si>
    <t>Поручения Правительства</t>
  </si>
  <si>
    <t>Анонс (предложения до 20.12.2026)</t>
  </si>
  <si>
    <t>https://rg.ru/2026/08/08/mishustin-poruchil-uvelichit-granty-na-vnedrenie-otechestvennogo-softa-do-80.html</t>
  </si>
  <si>
    <t>Поручения по итогам ЦИПР-2026: рост грантового софинансирования особо значимых ИТ-проектов с 50% до 80%; приоритет отечественных ИИ-решений в госзакупках; региональные ставки УСН для ИТ ≤3%/≤8% (до 01.12.2026); ускоренный перевод объектов КИИ на российское ПО; сводный доклад до 01.09.2026.</t>
  </si>
  <si>
    <t>Законопроект о видеоиграх (№ 795581-8)</t>
  </si>
  <si>
    <t>Внесён; возврат к рассмотрению сент–окт 2026</t>
  </si>
  <si>
    <t>https://techora.ru/news/gosduma-vernetsya-k-zakonu-o-videoigrakh-2026-08-05</t>
  </si>
  <si>
    <t>Законопроект дорабатывается по модели закона об ИИ: меры поддержки без запрета зарубежных платформ; обязательная идентификация пользователей (телефон, Госуслуги, ЕБС), маркировка контента, удаление запрещённых материалов.</t>
  </si>
  <si>
    <t>Проект правил управления M2M SIM-картами для бизнеса (Минцифры)</t>
  </si>
  <si>
    <t>Проект НПА (Минцифры)</t>
  </si>
  <si>
    <t>Проект (предложен 10.08.2026); возможное вступление с 01.09.2027</t>
  </si>
  <si>
    <t>https://telesputnik.ru/materials/gov/news/mincifry-predlozilo-pravila-upravleniya-m2m-sim-kartami-dlya-biznesa</t>
  </si>
  <si>
    <t>Минцифры предложило правила управления M2M SIM-картами для бизнеса: учёт и контроль SIM-карт, используемых в устройствах machine-to-machine.</t>
  </si>
  <si>
    <t>Законопроект № 1288702-8 — дипфейки как отягчающее обстоятельство (ст. 63 УК РФ)</t>
  </si>
  <si>
    <t>Внесён 14.07.2026 (ЛДПР, СФ); I чтение не назначено</t>
  </si>
  <si>
    <t>https://www.kommersant.ru/doc/8815085</t>
  </si>
  <si>
    <t>Предлагается дополнить ст. 63 УК РФ: совершение преступления с использованием видео-, аудиозаписей и изображений, созданных с применением ИИ (имитация высказываний/действий реального человека либо образ сгенерированной личности), — отягчающее обстоятельство. Правительство и ВС РФ — сдержанно (предлагают квалифицирующий признак отдельных составов). При принятии — с 01.09.2026.</t>
  </si>
  <si>
    <t>Проект постановления Минцифры о предельных сроках перехода ЗО КИИ на российское ПО (100% к 01.01.2028)</t>
  </si>
  <si>
    <t>Проект (в Правительстве, с мая 2026); отраслевые планы до 01.09.2026</t>
  </si>
  <si>
    <t>https://www.interfax.ru/russia/1088934</t>
  </si>
  <si>
    <t>Минцифры предложило предельные сроки: 100% российского ПО на значимых объектах КИИ с 01.01.2028; специальные сроки 01.01.2031 (особо значимые проекты, контракты до 01.09.2027) и 01.01.2036 (ОЗП 2026–2027 гг.); федеральные органы, ЦБ, Роскосмос, Росатом утверждают отраслевые планы перехода до 01.09.2026; назначаются ответственные не ниже заместителя руководителя.</t>
  </si>
  <si>
    <t>Поручение Президента: поправки об использовании авторского контента при обучении ИИ (рабочая группа при Совете по кодификации)</t>
  </si>
  <si>
    <t>Поручение Президента / предстоящие поправки в ГК РФ</t>
  </si>
  <si>
    <t>Анонс; предложения рабочей группы — к концу сентября 2026</t>
  </si>
  <si>
    <t>Выявлено противоречие между ФЗ № 243-ФЗ (разрешено свободное обучение нейросетей без согласия правообладателей) и ГК РФ; закон не определяет границы творческого вклада человека при генерации контента. Рабочая группа при президентском Совете по кодификации должна представить предложения к концу сентября 2026; параллельно работает правительственная подкомиссия по развитию ИИ. Обсуждаемые модели: прямое лицензирование, поправки в ГК, коллективное управление (аналог «налога на болванки»), «биржи прав» (опыт Китая).</t>
  </si>
  <si>
    <t>Подкомиссия по развитию цифровых платформ под руководством Д. Григоренко («штаб платформенной экономики»)</t>
  </si>
  <si>
    <t>Орган управления / подкомиссия Правительства</t>
  </si>
  <si>
    <t>Создана; первые задачи — поправки к закону о платформенной экономике</t>
  </si>
  <si>
    <t>Правительство утвердило состав постоянно действующей подкомиссии по развитию цифровых платформ: руководитель — Д. Григоренко, заместитель — М. Решетников, в составе — М. Шадаев, А. Попова, М. Иванков и ещё 11 ведомств. Первые задачи — пакет поправок к 289-ФЗ: регулирование скидок за счёт продавцов, выравнивание условий для российских и зарубежных поставщиков на маркетплейсах.</t>
  </si>
  <si>
    <t>https://ebrlaw.ru/</t>
  </si>
  <si>
    <t>Подзаконные акты к ФЗ № 243-ФЗ: проверка больших ИИ-моделей на соответствие закону и традиционным ценностям (независимые испытательные лаборатории)</t>
  </si>
  <si>
    <t>Анонс подзаконных актов (пакет актов Правительства / Минцифры)</t>
  </si>
  <si>
    <t>Анонс; пакет подзаконных актов на межведомственном согласовании (Минцифры, ФСБ, ФСТЭК)</t>
  </si>
  <si>
    <t>https://habr.com/ru/news/1070012/</t>
  </si>
  <si>
    <t>«Ведомости» (13.08.2026): Минцифры по согласованию с бизнесом готовит порядок проверки больших фундаментальных ИИ-моделей на соответствие законодательству и традиционным духовно-нравственным ценностям (указ № 809). Экспертизу смогут проводить несколько независимых лабораторий по бенчмаркам, включая тесты на промпт-инъекции; положительное заключение — условие статусов «национальная»/«суверенная» модель и мер господдержки (госзакупки, доступ к данным ГИС). Лабораторию может создать правкомиссия по цифровизации с подачи Минцифры.</t>
  </si>
  <si>
    <t>Проект Концепции развития регулирования отношений в сфере технологий ИИ до 2030 года</t>
  </si>
  <si>
    <t>Концепция (стратегический проект регулирования)</t>
  </si>
  <si>
    <t>Проект распространён для рабочего анализа; сопровождает законопроект № 1271570-8 «О поддержке развития технологий ИИ в РФ»</t>
  </si>
  <si>
    <t>Мониторинг законодательства 17–21.08.2026 (файл пользователя)</t>
  </si>
  <si>
    <t>Концепция задаёт цели, задачи и подходы к развитию регулирования ИИ до 2030 года; разработана в связке с законопроектом № 1271570-8. Определит архитектуру подзаконного регулирования ФЗ № 243-ФЗ: проверку моделей (карточка № 35), маркировку ИИ-контента (карточка № 38→№ 30), меры поддержки.</t>
  </si>
  <si>
    <t>Проект постановления Правительства «О лицензировании телевизионного вещания и радиовещания» (новая редакция Положения)</t>
  </si>
  <si>
    <t>Проект постановления Правительства (regulation.gov.ru, проект № 161889)</t>
  </si>
  <si>
    <t>Публичное обсуждение на regulation.gov.ru</t>
  </si>
  <si>
    <t>Утверждается новая редакция Положения о лицензировании ТВ- и радиовещания — базового документа, по которому лицензируются вещатели, использующие CAS/DRM-инфраструктуру GS Labs.</t>
  </si>
  <si>
    <t>Проект приказа Роскомнадзора об обновлении проверочного листа для контроля за обработкой персональных данных</t>
  </si>
  <si>
    <t>Проект НПА</t>
  </si>
  <si>
    <t>Публичное обсуждение / доработка (август 2026)</t>
  </si>
  <si>
    <t>Роскомнадзор обновляет проверочный лист, утверждённый приказом № 253 от 24.12.2021: добавлены 5 вопросов (сроки уничтожения и обезличивания ПД; критерии согласия по ч. 1 ст. 9 152-ФЗ; согласие на распространение по ч. 9 ст. 9; уведомление об обработке по ч. 3.1 ст. 22; обезличивание по ч. 12 ст. 23), исключены 3 устаревших вопроса. Лист используется при плановых контрольных мероприятиях</t>
  </si>
  <si>
    <t>Предложение Ассоциации больших данных: обработка ПД с применением PETs без согласий для обучения ИИ (институт доверенного посредника)</t>
  </si>
  <si>
    <t>Инициатива (письмо в Минцифры)</t>
  </si>
  <si>
    <t>Письмо АБД в Минцифры от 03.08.2026; обсуждение</t>
  </si>
  <si>
    <t>Ассоциация больших данных (Авито, Сбер, Ростелеком, Яндекс, HH, VK) предложила Минцифры разрешить обработку персональных данных без согласий субъектов для обучения ИИ-моделей при условии применения технологий конфиденциальных вычислений (PETs) и участия «доверенного посредника». Цель — снять дефицит легальных данных для обучения суверенных ИИ</t>
  </si>
  <si>
    <t>GS Labs · Отраслевые новости и судебная практика — ранжирование по актуальности</t>
  </si>
  <si>
    <t>Ранжирование по индексу актуальности (Н1–Н4), а не по методике НПА: шкала и веса — лист «Методика», блок с строки 31.</t>
  </si>
  <si>
    <t>Событие</t>
  </si>
  <si>
    <t>Тип</t>
  </si>
  <si>
    <t>Дата / период</t>
  </si>
  <si>
    <t>Н1 Актуальность
(0–3)</t>
  </si>
  <si>
    <t>Н2 Релевантность
GS Labs (0–3)</t>
  </si>
  <si>
    <t>Н3 Масштаб
для отрасли (0–3)</t>
  </si>
  <si>
    <t>Н4 Динамика
развития (0–3)</t>
  </si>
  <si>
    <t>Индекс
актуальности
(0–100)</t>
  </si>
  <si>
    <t>Категория
актуальности</t>
  </si>
  <si>
    <t>Суть события</t>
  </si>
  <si>
    <t>Кризис рынка ЦОД</t>
  </si>
  <si>
    <t>Рыночные данные</t>
  </si>
  <si>
    <t>06.08.2026 (данные II кв. 2026)</t>
  </si>
  <si>
    <t>https://telesputnik.ru/materials/trends/news/rossiiskii-rynok-cod-stol</t>
  </si>
  <si>
    <t>Дефицит мощностей ЦОД в Москве и СПб: сроки подключения 2–5 лет, фактический запрет на новые техусловия в Москве. II кв. 2026: стойка 5 кВт — 170,8 тыс. ₽ (+15,7% г/г) в Москве, 138 тыс. ₽ (+31,3%) в СПб; стойки 15–20 кВт под ИИ сокращают ёмкость машзалов.</t>
  </si>
  <si>
    <t>Бюро 1440, развертывание низкоорбитального интернета</t>
  </si>
  <si>
    <t>Технологическое событие</t>
  </si>
  <si>
    <t>19.07.2026 (запуск), обновление 04.08.2026</t>
  </si>
  <si>
    <t>https://digital.gov.ru/news/vtoraya-partiya-sputnikov-rossijskoj-nizko</t>
  </si>
  <si>
    <t>Развёртывание низкоорбитальной группировки «Рассвет-3»: 19.07.2026 выведена вторая партия из 16 спутников (опорная орбита 287–325 км, наклонение 82,3°), идут регламентные работы и подготовка первых клиентских тестов; до конца 2026 г. запланировано ещё 7 пусков (цель — 156 аппаратов).</t>
  </si>
  <si>
    <t>Разглашение КТ через ИИ-сервисы (судебная практика)</t>
  </si>
  <si>
    <t>Судебная практика</t>
  </si>
  <si>
    <t>2026</t>
  </si>
  <si>
    <t>https://mos-gorsud.ru/rs/babushkinskij/services/cases/civil/details/73</t>
  </si>
  <si>
    <t>Загрузка рабочих данных (в т.ч. агрегированных отчётов) в публичные ИИ-сервисы признана судом разглашением коммерческой тайны — даже без доказательства факта утечки.</t>
  </si>
  <si>
    <t>Аудитория онлайн-кинотеатров превысила 72 млн подписчиков (TelecomDaily, II кв. 2026)</t>
  </si>
  <si>
    <t>05–06.08.2026</t>
  </si>
  <si>
    <t>https://telecomdaily.ru/news/2026/08/05/iaa-telecomdaily-chislo-podpischikov-ok-v-rossii-prevysilo-72-mln</t>
  </si>
  <si>
    <t>По итогам II кв. 2026 г. более 72 млн пользователей в России являлись подписчиками девяти ведущих онлайн-кинотеатров; рынок легальных видеосервисов в 2025 г. вырос на 29,2% до 220,1 млрд ₽.</t>
  </si>
  <si>
    <t>Принят закон о штрафах УК до 500 тыс. ₽ за воспрепятствование доступу операторов связи в МКД; отрасль обсуждает «реформу связи»</t>
  </si>
  <si>
    <t>Отраслевое событие</t>
  </si>
  <si>
    <t>07.08.2026</t>
  </si>
  <si>
    <t>https://www.cableman.ru/</t>
  </si>
  <si>
    <t>Госдума приняла закон об административной ответственности управляющих компаний за нарушение правил взаимодействия с операторами связи (штрафы для юрлиц до 500 тыс. ₽); одновременно отрасль дискутирует о параметрах грядущей «реформы связи» и её влиянии на экономику провайдеров.</t>
  </si>
  <si>
    <t>ФАС возбудила дело против Apple из-за отсутствия предустановки MAX и RuStore на iPhone/iPad</t>
  </si>
  <si>
    <t>Отраслевое событие (анонс регуляторного действия)</t>
  </si>
  <si>
    <t>конец июля — август 2026</t>
  </si>
  <si>
    <t>ФАС возбудила дело в отношении Apple: не исполнено предупреждение о предустановке отечественного магазина RuStore и нацмессенджера MAX (предупреждение выдано в начале июля, срок исполнения — 15.07; с 27.07 реализована только предустановка российской поисковой системы). Предварительная оценка максимального штрафа — до 4 млрд ₽.</t>
  </si>
  <si>
    <t>Пресненский суд: изображения, созданные генеративным ИИ, не охраняются авторским правом (дело Позднякова)</t>
  </si>
  <si>
    <t>июль 2026</t>
  </si>
  <si>
    <t>Одно из первых развёрнутых решений о неохраноспособности результатов генеративного ИИ: формирование и уточнение промптов — технический, а не творческий характер; презумпция п. 80 Постановления Пленума ВС № 10 не освобождает от доказывания личного творческого вклада; общее заключение специалиста без указания конкретных творческих решений недостаточно (в иске отказано).</t>
  </si>
  <si>
    <t>ЦТС (GS Group) выпустил 30-миллионную телевизионную приставку</t>
  </si>
  <si>
    <t>Корпоративное событие GS Group</t>
  </si>
  <si>
    <t>12.08.2026</t>
  </si>
  <si>
    <t>https://gs-group.com/press-center/news/</t>
  </si>
  <si>
    <t>На площадке контрактного производства «Цифровые Телевизионные Системы» (Гусев, Калининградская обл., входит в GS Group) произведена 30-миллионная телевизионная приставка — юбилейный рубеж крупнейшего российского производства ТВ-оборудования.</t>
  </si>
  <si>
    <t>Обсуждается переход к ОБЯЗАТЕЛЬНОЙ маркировке ИИ-контента (поправки рабочей группы Совета по кодификации)</t>
  </si>
  <si>
    <t>Регуляторная инициатива (проект поправок к закону об ИИ и ГК РФ)</t>
  </si>
  <si>
    <t>12–20.08.2026; финальные предложения — конец сентября 2026</t>
  </si>
  <si>
    <t>GR-дайджест 12–20.08.2026 (Телеспутник)</t>
  </si>
  <si>
    <t>Рабочая группа Совета при Президенте по кодификации (П. Крашенинников) подготовила проект поправок к закону об ИИ и ГК РФ: обязательная маркировка аудиовизуального контента, созданного большими ИИ-моделями, вместо действующей добровольной схемы (платформы &gt;500 тыс. пользователей лишь обязаны предоставлять техническую возможность маркировки). АИВ (А. Бырдин): редакция создаёт неопределённость — ключевые решения (ответственность, проверка при переносе файлов, порог использования ИИ) выносятся в подзаконные акты; альтернативы — китайская модель скрытых машиночитаемых меток, EU AI Act.</t>
  </si>
  <si>
    <t>Совет по генеративной разработке ПО при Минцифры (инициатива «Сбера»)</t>
  </si>
  <si>
    <t>Отраслевое событие (новая институциональная площадка)</t>
  </si>
  <si>
    <t>12–20.08.2026; поручение Шадаева — предложения к концу 2026</t>
  </si>
  <si>
    <t>На встрече в Минцифры «Сбер» предложил создать Совет по генеративной разработке ПО: методология агентной разработки, стандартизация, оценка экономического эффекта нейросетей в программировании, стандарты эффективности вычислительных мощностей. Участники — «Ростелеком», Т-банк, ВТБ, «Росатом», РЖД и др. Министр Шадаев поручил к концу года подготовить практические предложения по оценке экономической эффективности.</t>
  </si>
  <si>
    <t>АМОР предложила компромисс в «реформе связи»: институт аварийного оператора</t>
  </si>
  <si>
    <t>Отраслевое событие (позиция ассоциации по реформе лицензирования связи)</t>
  </si>
  <si>
    <t>12–20.08.2026</t>
  </si>
  <si>
    <t>GR-дайджест 12–20.08.2026 (ComNews)</t>
  </si>
  <si>
    <t>Ассоциация малых операторов связи регионов (АМОР) направила в Минцифры и Правительство альтернативу «реформе связи»: вместо передачи сетей операторов, лишившихся лицензии, системообразующему игроку — институт аварийного оператора. АМОР считает, что текущая версия реформы ведёт к монополизации рынка. Параллельно в ГД в рабочем порядке распространён законопроект о новой системе лицензирования связи (базовая/универсальная/генеральная лицензии, требования к уставному капиталу, СОРМ) — из мониторинга законодательства 17–21.08.</t>
  </si>
  <si>
    <t>Методика оценки влияния НПА и ранжирования отраслевых новостей</t>
  </si>
  <si>
    <t>Критерии оценки и веса (сумма весов = 100%)</t>
  </si>
  <si>
    <t>Вес</t>
  </si>
  <si>
    <t>Шкала (0–3 балла)</t>
  </si>
  <si>
    <t>К1. Применимость к деятельности GS Labs</t>
  </si>
  <si>
    <t>0 — не применимо · 1 — косвенно, общеотраслевой характер · 2 — применимо к части продуктов · 3 — прямое влияние на ключевые продукты/выручку</t>
  </si>
  <si>
    <t>К2. Юридическая сила / стадия принятия</t>
  </si>
  <si>
    <t>0 — информационный/зарубежный акт · 1 — законопроект внесён · 2 — принят в чтениях, готовится к подписанию · 3 — подписан/действует</t>
  </si>
  <si>
    <t>К3. Финансовое воздействие</t>
  </si>
  <si>
    <t>0 — отсутствует · 1 — незначительное · 2 — существенное (комплаенс-расходы, налоги, льготы) · 3 — критическое (прямое влияние на выручку/издержки)</t>
  </si>
  <si>
    <t>К4. Операционная сложность адаптации</t>
  </si>
  <si>
    <t>0 — действий не требуется · 1 — точечные изменения документов/процессов · 2 — изменения продуктов/инфраструктуры · 3 — перестройка ключевых процессов</t>
  </si>
  <si>
    <t>К5. Юридический и репутационный риск</t>
  </si>
  <si>
    <t>0 — ответственность не предусмотрена · 1 — незначительная административная · 2 — существенная административная/оборотная · 3 — уголовная/блокирующая деятельность</t>
  </si>
  <si>
    <t>К6. Срочность (время до применения)</t>
  </si>
  <si>
    <t>0 — свыше 12 мес. · 1 — 6–12 мес. · 2 — 1–6 мес. · 3 — менее 1 мес. или уже действует</t>
  </si>
  <si>
    <t>Сумма весов (должна быть 100%)</t>
  </si>
  <si>
    <t>Формула итогового индекса влияния (ИВ)</t>
  </si>
  <si>
    <t>ИВ = [ (К1×вес1 + К2×вес2 + К3×вес3 + К4×вес4 + К5×вес5 + К6×вес6) / 3 ] × 100, округление до 0,1</t>
  </si>
  <si>
    <t>Шкала итогового индекса, категории и рекомендованные действия</t>
  </si>
  <si>
    <t>Мин. балл</t>
  </si>
  <si>
    <t>Категория</t>
  </si>
  <si>
    <t>Реакция системы</t>
  </si>
  <si>
    <t>Незначительное</t>
  </si>
  <si>
    <t>Архивирование с пометкой «на заметку»; действие не требуется</t>
  </si>
  <si>
    <t>Низкое</t>
  </si>
  <si>
    <t>Фиксация в реестре; переоценка при изменении стадии акта; пересмотр раз в квартал</t>
  </si>
  <si>
    <t>Среднее</t>
  </si>
  <si>
    <t>Разбор в рамках планового цикла (2 недели); включение в квартальный обзор</t>
  </si>
  <si>
    <t>Высокое</t>
  </si>
  <si>
    <t>Разбор профильным экспертом (3 раб. дня); согласование плана действий с руководством (1 неделя)</t>
  </si>
  <si>
    <t>Критическое</t>
  </si>
  <si>
    <t>Немедленная эскалация руководству и юристу; план действий за 2 раб. дня; контроль еженедельно</t>
  </si>
  <si>
    <t>Столбцы A (мин. балл), B (веса) и вся шкала используются формулами листов реестра — изменять согласованно</t>
  </si>
  <si>
    <t>Флаги автоматической эскалации (ставить «Да» в столбце N реестра вручную)</t>
  </si>
  <si>
    <t>• Акт относит оборот ИИ, защиту конфиденциальной информации, деятельность ЦОД или доверенное ПО к стратегически значимым объектам</t>
  </si>
  <si>
    <t>• Акт вводит новую уголовную ответственность за генеративный ИИ/дипфейки, применимую к функциям GS Labs</t>
  </si>
  <si>
    <t>• Акт меняет критерии ИТ-аккредитации или условия налоговых/кадровых льгот для ИТ-компаний</t>
  </si>
  <si>
    <t>• Судебный акт формирует новый стандарт доказывания/ответственности по спорам о переработке ПО или коммерческой тайне</t>
  </si>
  <si>
    <t>• Санкция может привести к приостановке деятельности информационного ресурса/сервиса GS Labs</t>
  </si>
  <si>
    <t>Ранжирование отраслевых новостей (лист «Отраслевые новости»)</t>
  </si>
  <si>
    <t>Критерий</t>
  </si>
  <si>
    <t>Н1. Актуальность события</t>
  </si>
  <si>
    <t>0 — архивное · 1 — старше месяца · 2 — текущий месяц · 3 — произошло/раскрыто на этой неделе, тема активно развивается</t>
  </si>
  <si>
    <t>Н2. Релевантность продуктам и бизнесу GS Labs</t>
  </si>
  <si>
    <t>0 — не связано · 1 — косвенно · 2 — затрагивает часть продуктов/процессов · 3 — прямое влияние на выручку, затраты или продуктовую стратегию</t>
  </si>
  <si>
    <t>Н3. Масштаб для отрасли</t>
  </si>
  <si>
    <t>0 — локальное · 1 — сегмент рынка · 2 — вся ИТ/ТВ-отрасль РФ · 3 — отрасль + смежные рынки/госполитика</t>
  </si>
  <si>
    <t>Н4. Динамика развития</t>
  </si>
  <si>
    <t>0 — статично · 1 — единичное событие · 2 — развивается, новые шаги ожидаются в 6–12 мес. · 3 — стремительно, события каждую неделю/месяц</t>
  </si>
  <si>
    <t>Индекс актуальности ИА = [ (Н1×вес1 + Н2×вес2 + Н3×вес3 + Н4×вес4) / 3 ] × 100, округление до 0,1</t>
  </si>
  <si>
    <t>Фон</t>
  </si>
  <si>
    <t>Архив; пересмотр не требуется</t>
  </si>
  <si>
    <t>На заметку</t>
  </si>
  <si>
    <t>Краткая фиксация; пересмотр раз в квартал</t>
  </si>
  <si>
    <t>Актуально</t>
  </si>
  <si>
    <t>Включить в еженедельный дайджест; мониторинг развития события</t>
  </si>
  <si>
    <t>Горячая тема</t>
  </si>
  <si>
    <t>Разбор на неделе публикации; оценка влияния на планы компании</t>
  </si>
  <si>
    <t>Источники информации за период 03–28.08.2026</t>
  </si>
  <si>
    <t>Источники, использованные при обновлении реестра (03–25.08.2026); привязка к номерам карточек (сквозная нумерация).</t>
  </si>
  <si>
    <t>Источник (URL)</t>
  </si>
  <si>
    <t>Название источника</t>
  </si>
  <si>
    <t>К чему относится</t>
  </si>
  <si>
    <t>Passwork (обзор), 21.06.2026</t>
  </si>
  <si>
    <t>Карточка № 22 — ПП № 402, категорирование КИИ в связи</t>
  </si>
  <si>
    <t>Интерфакс, 12.05.2026</t>
  </si>
  <si>
    <t>Карточки № 22, 27 — сроки перехода ЗО КИИ на российское ПО</t>
  </si>
  <si>
    <t>https://secpost.ru/mozhet-prevratitsya-v-formalnoe-importozameshhenie-na-bumage-minczifry-gotovit-predelnye-sroki-dlya-importozameshheniya-na-zo-kii</t>
  </si>
  <si>
    <t>SecPost, 12.05.2026</t>
  </si>
  <si>
    <t>Карточка № 27 — оценки готовности отрасли (40–45%)</t>
  </si>
  <si>
    <t>Pepeliaev Group, 20.01.2026</t>
  </si>
  <si>
    <t>Карточка № 23 — правила реестра ПО (ПП № 1937)</t>
  </si>
  <si>
    <t>https://acsour.com/tpost/a5vnh0hx01-novie-trebovaniya-k-po-v-reestre-mintsif</t>
  </si>
  <si>
    <t>Acsour, 06.03.2026</t>
  </si>
  <si>
    <t>Карточка № 23 — этапы совместимости с доверенными ОС</t>
  </si>
  <si>
    <t>Ведомости, 09.06.2026</t>
  </si>
  <si>
    <t>Карточка № 24 — техсбор, перенос на 01.12.2026, позиция GS Group</t>
  </si>
  <si>
    <t>https://www.interfax.ru/business/1094691</t>
  </si>
  <si>
    <t>Интерфакс, 08.06.2026</t>
  </si>
  <si>
    <t>Карточка № 24 — прогноз поступлений, этапность</t>
  </si>
  <si>
    <t>https://nalog-nalog.ru/nalogovye-izmeneniya-2026/tehnologicheskij-sbor-na-elektroniku-s-1-sentyabrya-2026-kto-za-chto-i-skolko-platit/</t>
  </si>
  <si>
    <t>Налог-Налог, 03.07.2026</t>
  </si>
  <si>
    <t>Карточка № 24 — перечень этапа 1 и ориентиры ставок</t>
  </si>
  <si>
    <t>Телеспутник, 10.08.2026</t>
  </si>
  <si>
    <t>Карточка № 25 — правила M2M SIM</t>
  </si>
  <si>
    <t>Коммерсантъ, 14.07.2026</t>
  </si>
  <si>
    <t>Карточка № 26 — законопроект о дипфейках</t>
  </si>
  <si>
    <t>https://ppt.ru/news/ugolovnaya-otvetstvennost/ispolzovanie-dipfeykov-priznayut-otyagchayushchim-obstoyatelstvom</t>
  </si>
  <si>
    <t>ППТ.ру, 15.07.2026</t>
  </si>
  <si>
    <t>Карточка № 26 — отзывы Правительства и ВС РФ</t>
  </si>
  <si>
    <t>TelecomDaily, 05.08.2026</t>
  </si>
  <si>
    <t>Карточка № 28 — 72 млн подписчиков онлайн-кинотеатров</t>
  </si>
  <si>
    <t>https://telesputnik.ru/materials/trends/news/rynok-platnogo-tv-v-rossii-vyros-v-2025-godu-pocti-na-10</t>
  </si>
  <si>
    <t>Телеспутник, 28.04.2026</t>
  </si>
  <si>
    <t>Карточка № 28 — рынок платного ТВ и легального видео 2025</t>
  </si>
  <si>
    <t>Кабельщик, 07.08.2026</t>
  </si>
  <si>
    <t>Карточка № 29 — штрафы УК, дискуссия о «реформе связи»</t>
  </si>
  <si>
    <t>Еженедельный GR-дайджест (01.08–12.08.2026), файл пользователя</t>
  </si>
  <si>
    <t>Внутренний мониторинг (электроника, телеком, цифровая экономика)</t>
  </si>
  <si>
    <t>Карточки № 3 (подтверждение цен ЦОД), № 20 (уточнение), № 30, 31; отраслевой фон</t>
  </si>
  <si>
    <t>Дайджест ЭБР для АРПП, выпуск 79 (27.07–02.08.2026), файл пользователя</t>
  </si>
  <si>
    <t>ЭБР / ebrlaw.ru</t>
  </si>
  <si>
    <t>Карточки № 2 (подтверждение), № 18 (контекст), № 32, 33, 34</t>
  </si>
  <si>
    <t>Хабр / Ведомости, 13.08.2026</t>
  </si>
  <si>
    <t>Карточка № 35 — проверка ИИ-моделей в независимых лабораториях; обновление карточки № 2</t>
  </si>
  <si>
    <t>https://iteh24.ru/blog/trebovaniya-fstek-s-1-sentyabrya-chto-na-samom-dele/</t>
  </si>
  <si>
    <t>ITeh24, 13.08.2026</t>
  </si>
  <si>
    <t>Карточка № 12 — приказ ФСТЭК не подписан по состоянию на 17.08.2026</t>
  </si>
  <si>
    <t>https://techora.ru/news/mintsifry-predlagaet-predustanavlivat-ii-pomoshchnikov-iz-2026-08-07</t>
  </si>
  <si>
    <t>Techora, 07.08.2026</t>
  </si>
  <si>
    <t>Карточка № 18 — обсуждение предустановки ИИ-помощников завершено 17.08.2026</t>
  </si>
  <si>
    <t>https://techora.ru/news/mintsifry-razoslalo-tretiy-antifrod-paket-s-2026-07-14</t>
  </si>
  <si>
    <t>Techora / Интерфакс, 14.07.2026</t>
  </si>
  <si>
    <t>Карточка № 19 — детали III антифрод-пакета; «Антифрод 2.0» подписан 26.06.2026</t>
  </si>
  <si>
    <t>https://www.bitrix24.ru/journal/tekhnologicheskiy-sbor/</t>
  </si>
  <si>
    <t>Битрикс24 (обзор), 19.06.2026</t>
  </si>
  <si>
    <t>Карточка № 24 — ставки техсбора; перечень продукции не опубликован</t>
  </si>
  <si>
    <t>https://www.gazeta.ru/business/news/2026/08/06/29055109.shtml</t>
  </si>
  <si>
    <t>Газета.Ru / TelecomDaily, 06.08.2026</t>
  </si>
  <si>
    <t>Карточка № 28 — детализация II кв. 2026: 53,1 млн платных подписок, доли сервисов</t>
  </si>
  <si>
    <t>GS Group, 12.08.2026</t>
  </si>
  <si>
    <t>Карточка № 36 — 30-миллионная ТВ-приставка ЦТС</t>
  </si>
  <si>
    <t>Гарант (текст указа), 24.08.2026</t>
  </si>
  <si>
    <t>Карточка № 37 — Указ Президента № 604 о безопасности объектов критической инфраструктуры</t>
  </si>
  <si>
    <t>https://www.interfax.ru/russia/1110972</t>
  </si>
  <si>
    <t>Интерфакс, 24.08.2026</t>
  </si>
  <si>
    <t>Карточка № 37 — основания временного управления, перечень объектов КИ</t>
  </si>
  <si>
    <t>http://duma.gov.ru/news/63984/</t>
  </si>
  <si>
    <t>Госдума (обзор), 08.08.2026</t>
  </si>
  <si>
    <t>Карточка № 29 — вступление в силу штрафов за препятствование операторам связи с 06.08.2026</t>
  </si>
  <si>
    <t>https://cisoclub.ru/prikaz-fstek-21/</t>
  </si>
  <si>
    <t>CISO Club, 07.08.2026</t>
  </si>
  <si>
    <t>Карточка № 12 — приказ № 21 действует, новый приказ не подписан</t>
  </si>
  <si>
    <t>Еженедельный GR-дайджест (12.08–20.08.2026), файл пользователя</t>
  </si>
  <si>
    <t>Карточки № 20 (подтверждение), 30 (маркировка ИИ-контента), 35 (духовно-нравственные тесты), 41, 42, 43</t>
  </si>
  <si>
    <t>Ассоциационный мониторинг МКС/АИВ (проекты НПА)</t>
  </si>
  <si>
    <t>Карточки № 38 (Концепция ИИ до 2030), 39 (лицензирование ТВ-вещания), 40 (ст. 19.1 Закона о СМИ), 43 (лицензирование связи)</t>
  </si>
  <si>
    <t>https://www.vedomosti.ru/technology/articles/2026/08/19/1222098-markirovku-kontenta-predlozhili-perelozhit-na-servisi-ii-generatsii</t>
  </si>
  <si>
    <t>Ведомости, 19.08.2026</t>
  </si>
  <si>
    <t>Карточки № 41, 44 — внесение законопроекта о маркировке ИИ-контента (авторы — депутаты КПРФ; охват текстов)</t>
  </si>
  <si>
    <t>https://vc.ru/ai/3090020-obyazatelnaya-markirovka-ii-kontenta-v-gosdume</t>
  </si>
  <si>
    <t>vc.ru, 21.08.2026</t>
  </si>
  <si>
    <t>Карточка № 44 — детали законопроекта (обязанность на провайдера фундаментальной модели; вступление 01.03.2027)</t>
  </si>
  <si>
    <t>https://www.klerk.ru/buh/news/704942/</t>
  </si>
  <si>
    <t>Клерк.ру, 17.08.2026</t>
  </si>
  <si>
    <t>Карточка № 44 — реквизиты внесения законопроекта в ГД</t>
  </si>
  <si>
    <t>ITeh24, 13.08.2026 (перепроверка 21.08)</t>
  </si>
  <si>
    <t>Карточка № 12 — приказ ФСТЭК не подписан; проект ID 169583, регистрации в Минюсте нет</t>
  </si>
  <si>
    <t>https://www.comnews.ru/content/246930/2026-08-18/2026-w34/1007/associaciya-malykh-operatorov-svyazi-regionov-predlozhila-kompromiss-reforme-svyazi</t>
  </si>
  <si>
    <t>ComNews, 18.08.2026</t>
  </si>
  <si>
    <t>Карточка № 43 — детали предложения АМОР: аварийный оператор, межведкомиссия, оценка потерь 25% сетей</t>
  </si>
  <si>
    <t>Дайджест ЭБР для АРПП, выпуск 80 (03.08–09.08.2026), файл получен от АРПП</t>
  </si>
  <si>
    <t>Карточки № 8 (льготы МСП за российский ИИ; доначисления за совмещение льгот), 20 (сроки поручений ЦИПР), 34 (ВС РФ, дело АКПИ26-647), 45 (проверочный лист РКН), 46 (АБД, PETs)</t>
  </si>
  <si>
    <t>https://regulation.gov.ru/projects#npa=165947</t>
  </si>
  <si>
    <t>regulation.gov.ru, проект ID 165947</t>
  </si>
  <si>
    <t>Карточка № 24 — финальный перечень и ставки техсбора не опубликованы</t>
  </si>
  <si>
    <t>Каналы регулярного мониторинга</t>
  </si>
  <si>
    <t>Источники из исходного реестра; дополняйте по мере необходимости.</t>
  </si>
  <si>
    <t>Ссылка / канал</t>
  </si>
  <si>
    <t>Название</t>
  </si>
  <si>
    <t>Периодичность</t>
  </si>
  <si>
    <t>https://t.me/cit_gov</t>
  </si>
  <si>
    <t>Цифровые индустриальные технологии - дайджест</t>
  </si>
  <si>
    <t>Еженедельно</t>
  </si>
  <si>
    <t>https://t.me/rfrit</t>
  </si>
  <si>
    <t>РФРИТ</t>
  </si>
  <si>
    <t>https://t.me/grantsforbussines</t>
  </si>
  <si>
    <t>Гранты для ИТ</t>
  </si>
  <si>
    <t>https://t.me/cio_channel</t>
  </si>
  <si>
    <t>CIO: канал IT руководителей</t>
  </si>
  <si>
    <t>По мере новых публикаций</t>
  </si>
  <si>
    <t>https://t.me/rustorgpred</t>
  </si>
  <si>
    <t>Торгпред - тендеры и закупки</t>
  </si>
  <si>
    <t>Раз в неделю</t>
  </si>
  <si>
    <t>https://t.me/government_rus</t>
  </si>
  <si>
    <t>Правительство РФ - сводки</t>
  </si>
  <si>
    <t>https://t.me/arperf</t>
  </si>
  <si>
    <t>АРПЭ - новости</t>
  </si>
  <si>
    <t>https://t.me/icipr</t>
  </si>
  <si>
    <t>ЦИПР - новости и анонсы мероприятий</t>
  </si>
  <si>
    <t>Правовой комитет АРПП</t>
  </si>
  <si>
    <t>Дайджесты ИРИ и ЭБР</t>
  </si>
  <si>
    <t>Еженедельно (понедельник)</t>
  </si>
  <si>
    <t>https://t.me/arppsoft</t>
  </si>
  <si>
    <t>АРПП - новости</t>
  </si>
  <si>
    <t>https://www.garant.ru/products/ipo/prime/doc/56962141/</t>
  </si>
  <si>
    <t>https://www.kommersant.ru/doc/8863449</t>
  </si>
  <si>
    <t>https://pravo.hse.ru/religionandlaw/news/1079313649.html</t>
  </si>
  <si>
    <t>https://regulation.gov.ru/projects/161889/</t>
  </si>
  <si>
    <t>https://www.vedomosti.ru/technology/articles/2026/08/28/1224303-kak-razrabotchiki-ii-hotyat-reshit-problemu-viplat-za-obuchenie-na-avtorskom-kontente</t>
  </si>
  <si>
    <t>https://government.ru/news/59736/</t>
  </si>
  <si>
    <t>https://passwork.ru/blog/importozamieshchieniie-kii-v-2026/. http://publication.pravo.gov.ru/document/0001202604130022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</si>
</sst>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20"/>
      <color rgb="FFFFFFFF"/>
      <name val="Arial"/>
      <family val="2"/>
    </font>
    <font>
      <b/>
      <sz val="16"/>
      <color rgb="FF16201F"/>
      <name val="Arial"/>
      <family val="2"/>
    </font>
    <font>
      <i/>
      <sz val="9"/>
      <color rgb="FF5A6B66"/>
      <name val="Arial"/>
      <family val="2"/>
    </font>
    <font>
      <b/>
      <sz val="10"/>
      <color rgb="FFFFFFFF"/>
      <name val="Arial"/>
      <family val="2"/>
    </font>
    <font>
      <b/>
      <sz val="10"/>
      <color rgb="FF16201F"/>
      <name val="Arial"/>
      <family val="2"/>
    </font>
    <font>
      <sz val="10"/>
      <color rgb="FF16201F"/>
      <name val="Arial"/>
      <family val="2"/>
    </font>
    <font>
      <b/>
      <sz val="11"/>
      <color rgb="FF16201F"/>
      <name val="Arial"/>
      <family val="2"/>
    </font>
    <font>
      <b/>
      <sz val="14"/>
      <color rgb="FFFFFFFF"/>
      <name val="Arial"/>
      <family val="2"/>
    </font>
    <font>
      <b/>
      <sz val="12"/>
      <color rgb="FF16201F"/>
      <name val="Arial"/>
      <family val="2"/>
    </font>
  </fonts>
  <fills count="9">
    <fill>
      <patternFill patternType="none"/>
    </fill>
    <fill>
      <patternFill patternType="gray125"/>
    </fill>
    <fill>
      <patternFill patternType="solid">
        <fgColor rgb="FF31B44B"/>
        <bgColor rgb="FF33CCCC"/>
      </patternFill>
    </fill>
    <fill>
      <patternFill patternType="solid">
        <fgColor rgb="FF16201F"/>
        <bgColor rgb="FF333333"/>
      </patternFill>
    </fill>
    <fill>
      <patternFill patternType="solid">
        <fgColor rgb="FFF8CBAD"/>
        <bgColor rgb="FFC9D6CE"/>
      </patternFill>
    </fill>
    <fill>
      <patternFill patternType="solid">
        <fgColor rgb="FFFFF2CC"/>
        <bgColor rgb="FFF4F7F5"/>
      </patternFill>
    </fill>
    <fill>
      <patternFill patternType="solid">
        <fgColor rgb="FFDFF0E2"/>
        <bgColor rgb="FFE4F4E7"/>
      </patternFill>
    </fill>
    <fill>
      <patternFill patternType="solid">
        <fgColor rgb="FFE4F4E7"/>
        <bgColor rgb="FFDFF0E2"/>
      </patternFill>
    </fill>
    <fill>
      <patternFill patternType="solid">
        <fgColor rgb="FFF4F7F5"/>
        <bgColor rgb="FFFFFFFF"/>
      </patternFill>
    </fill>
  </fills>
  <borders count="3">
    <border>
      <left/>
      <right/>
      <top/>
      <bottom/>
      <diagonal/>
    </border>
    <border>
      <left style="thin">
        <color rgb="FFC9D6CE"/>
      </left>
      <right style="thin">
        <color rgb="FFC9D6CE"/>
      </right>
      <top style="thin">
        <color rgb="FFC9D6CE"/>
      </top>
      <bottom style="thin">
        <color rgb="FFC9D6CE"/>
      </bottom>
      <diagonal/>
    </border>
    <border>
      <left style="thin">
        <color rgb="FFC9D6CE"/>
      </left>
      <right/>
      <top style="thin">
        <color rgb="FFC9D6CE"/>
      </top>
      <bottom style="thin">
        <color rgb="FFC9D6CE"/>
      </bottom>
      <diagonal/>
    </border>
  </borders>
  <cellStyleXfs count="1">
    <xf numFmtId="0" fontId="0" fillId="0" borderId="0"/>
  </cellStyleXfs>
  <cellXfs count="33">
    <xf numFmtId="0" fontId="0" fillId="0" borderId="0" xfId="0"/>
    <xf numFmtId="0" fontId="3" fillId="0" borderId="0" xfId="0" applyFont="1" applyAlignment="1">
      <alignment vertical="center" indent="1"/>
    </xf>
    <xf numFmtId="0" fontId="8" fillId="2" borderId="0" xfId="0" applyFont="1" applyFill="1" applyAlignment="1">
      <alignment vertical="center" indent="1"/>
    </xf>
    <xf numFmtId="0" fontId="6" fillId="0" borderId="0" xfId="0" applyFont="1" applyAlignment="1">
      <alignment vertical="top" wrapText="1"/>
    </xf>
    <xf numFmtId="0" fontId="6" fillId="0" borderId="2" xfId="0" applyFont="1" applyBorder="1" applyAlignment="1">
      <alignment vertical="top" wrapText="1"/>
    </xf>
    <xf numFmtId="0" fontId="4" fillId="3" borderId="2" xfId="0" applyFont="1" applyFill="1" applyBorder="1" applyAlignment="1">
      <alignment vertical="top" wrapText="1"/>
    </xf>
    <xf numFmtId="0" fontId="3" fillId="0" borderId="0" xfId="0" applyFont="1"/>
    <xf numFmtId="0" fontId="2" fillId="0" borderId="0" xfId="0" applyFont="1"/>
    <xf numFmtId="0" fontId="1" fillId="2" borderId="0" xfId="0" applyFont="1" applyFill="1" applyAlignment="1">
      <alignment vertical="center" indent="2"/>
    </xf>
    <xf numFmtId="0" fontId="4" fillId="3" borderId="1" xfId="0" applyFont="1" applyFill="1" applyBorder="1" applyAlignment="1">
      <alignment vertical="center"/>
    </xf>
    <xf numFmtId="0" fontId="0" fillId="3" borderId="0" xfId="0" applyFill="1"/>
    <xf numFmtId="0" fontId="5" fillId="0" borderId="1" xfId="0" applyFont="1" applyBorder="1" applyAlignment="1">
      <alignment vertical="center"/>
    </xf>
    <xf numFmtId="0" fontId="7" fillId="0" borderId="0" xfId="0" applyFont="1"/>
    <xf numFmtId="0" fontId="0" fillId="4" borderId="1" xfId="0" applyFill="1" applyBorder="1"/>
    <xf numFmtId="0" fontId="6" fillId="0" borderId="0" xfId="0" applyFont="1" applyAlignment="1">
      <alignment vertical="top" wrapText="1"/>
    </xf>
    <xf numFmtId="0" fontId="0" fillId="5" borderId="1" xfId="0" applyFill="1" applyBorder="1"/>
    <xf numFmtId="0" fontId="0" fillId="6" borderId="1" xfId="0" applyFill="1" applyBorder="1"/>
    <xf numFmtId="0" fontId="0" fillId="7" borderId="1" xfId="0" applyFill="1" applyBorder="1"/>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6" fillId="7" borderId="1" xfId="0" applyFont="1" applyFill="1" applyBorder="1" applyAlignment="1">
      <alignment vertical="top" wrapText="1"/>
    </xf>
    <xf numFmtId="0" fontId="6" fillId="7" borderId="1" xfId="0" applyFont="1" applyFill="1" applyBorder="1" applyAlignment="1">
      <alignment horizontal="center" vertical="center" wrapText="1"/>
    </xf>
    <xf numFmtId="0" fontId="6" fillId="6" borderId="1" xfId="0" applyFont="1" applyFill="1" applyBorder="1" applyAlignment="1">
      <alignment vertical="top" wrapText="1"/>
    </xf>
    <xf numFmtId="0" fontId="6" fillId="8" borderId="1" xfId="0" applyFont="1" applyFill="1" applyBorder="1" applyAlignment="1">
      <alignment horizontal="center" vertical="center" wrapText="1"/>
    </xf>
    <xf numFmtId="0" fontId="6" fillId="8" borderId="1" xfId="0" applyFont="1" applyFill="1" applyBorder="1" applyAlignment="1">
      <alignment vertical="top" wrapText="1"/>
    </xf>
    <xf numFmtId="0" fontId="6" fillId="6" borderId="1" xfId="0" applyFont="1" applyFill="1" applyBorder="1" applyAlignment="1">
      <alignment horizontal="center" vertical="center" wrapText="1"/>
    </xf>
    <xf numFmtId="9" fontId="6" fillId="0" borderId="1" xfId="0" applyNumberFormat="1" applyFont="1" applyBorder="1" applyAlignment="1">
      <alignment horizontal="center" vertical="center" wrapText="1"/>
    </xf>
    <xf numFmtId="0" fontId="5" fillId="0" borderId="0" xfId="0" applyFont="1" applyAlignment="1">
      <alignment vertical="top" wrapText="1"/>
    </xf>
    <xf numFmtId="0" fontId="5" fillId="0" borderId="1" xfId="0" applyFont="1" applyBorder="1" applyAlignment="1">
      <alignment vertical="top" wrapText="1"/>
    </xf>
    <xf numFmtId="0" fontId="3" fillId="0" borderId="0" xfId="0" applyFont="1" applyAlignment="1">
      <alignment vertical="top" wrapText="1"/>
    </xf>
    <xf numFmtId="0" fontId="9" fillId="0" borderId="0" xfId="0" applyFont="1" applyAlignment="1">
      <alignment vertical="top" wrapText="1"/>
    </xf>
    <xf numFmtId="0" fontId="6" fillId="0" borderId="0" xfId="0" applyFont="1"/>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4F4E7"/>
      <rgbColor rgb="FF660066"/>
      <rgbColor rgb="FFFF8080"/>
      <rgbColor rgb="FF0066CC"/>
      <rgbColor rgb="FFC9D6CE"/>
      <rgbColor rgb="FF000080"/>
      <rgbColor rgb="FFFF00FF"/>
      <rgbColor rgb="FFFFFF00"/>
      <rgbColor rgb="FF00FFFF"/>
      <rgbColor rgb="FF800080"/>
      <rgbColor rgb="FF800000"/>
      <rgbColor rgb="FF008080"/>
      <rgbColor rgb="FF0000FF"/>
      <rgbColor rgb="FF00CCFF"/>
      <rgbColor rgb="FFF4F7F5"/>
      <rgbColor rgb="FFDFF0E2"/>
      <rgbColor rgb="FFFFFF99"/>
      <rgbColor rgb="FF99CCFF"/>
      <rgbColor rgb="FFFF99CC"/>
      <rgbColor rgb="FFCC99FF"/>
      <rgbColor rgb="FFF8CBAD"/>
      <rgbColor rgb="FF3366FF"/>
      <rgbColor rgb="FF33CCCC"/>
      <rgbColor rgb="FF99CC00"/>
      <rgbColor rgb="FFFFCC00"/>
      <rgbColor rgb="FFFF9900"/>
      <rgbColor rgb="FFFF6600"/>
      <rgbColor rgb="FF5A6B66"/>
      <rgbColor rgb="FF969696"/>
      <rgbColor rgb="FF003366"/>
      <rgbColor rgb="FF31B44B"/>
      <rgbColor rgb="FF16201F"/>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showGridLines="0" zoomScaleNormal="100" workbookViewId="0">
      <selection sqref="A1:H2"/>
    </sheetView>
  </sheetViews>
  <sheetFormatPr baseColWidth="10" defaultColWidth="8.6640625" defaultRowHeight="15" x14ac:dyDescent="0.2"/>
  <cols>
    <col min="1" max="1" width="22" customWidth="1"/>
    <col min="2" max="8" width="16" customWidth="1"/>
  </cols>
  <sheetData>
    <row r="1" spans="1:8" ht="25.5" customHeight="1" x14ac:dyDescent="0.2">
      <c r="A1" s="8"/>
      <c r="B1" s="8"/>
      <c r="C1" s="8"/>
      <c r="D1" s="8"/>
      <c r="E1" s="8"/>
      <c r="F1" s="8"/>
      <c r="G1" s="8"/>
      <c r="H1" s="8"/>
    </row>
    <row r="2" spans="1:8" ht="25.5" customHeight="1" x14ac:dyDescent="0.2">
      <c r="A2" s="8"/>
      <c r="B2" s="8"/>
      <c r="C2" s="8"/>
      <c r="D2" s="8"/>
      <c r="E2" s="8"/>
      <c r="F2" s="8"/>
      <c r="G2" s="8"/>
      <c r="H2" s="8"/>
    </row>
    <row r="4" spans="1:8" ht="15" customHeight="1" x14ac:dyDescent="0.2">
      <c r="A4" s="7" t="s">
        <v>0</v>
      </c>
      <c r="B4" s="7"/>
      <c r="C4" s="7"/>
      <c r="D4" s="7"/>
      <c r="E4" s="7"/>
      <c r="F4" s="7"/>
      <c r="G4" s="7"/>
      <c r="H4" s="7"/>
    </row>
    <row r="5" spans="1:8" ht="15" customHeight="1" x14ac:dyDescent="0.2">
      <c r="A5" s="6" t="s">
        <v>1</v>
      </c>
      <c r="B5" s="6"/>
      <c r="C5" s="6"/>
      <c r="D5" s="6"/>
      <c r="E5" s="6"/>
      <c r="F5" s="6"/>
      <c r="G5" s="6"/>
      <c r="H5" s="6"/>
    </row>
    <row r="7" spans="1:8" ht="33.75" customHeight="1" x14ac:dyDescent="0.2">
      <c r="A7" s="9" t="s">
        <v>2</v>
      </c>
      <c r="B7" s="10"/>
      <c r="C7" s="5" t="s">
        <v>3</v>
      </c>
      <c r="D7" s="5"/>
      <c r="E7" s="5"/>
      <c r="F7" s="5"/>
      <c r="G7" s="5"/>
      <c r="H7" s="5"/>
    </row>
    <row r="8" spans="1:8" ht="33.75" customHeight="1" x14ac:dyDescent="0.2">
      <c r="A8" s="11" t="s">
        <v>4</v>
      </c>
      <c r="C8" s="4" t="s">
        <v>5</v>
      </c>
      <c r="D8" s="4"/>
      <c r="E8" s="4"/>
      <c r="F8" s="4"/>
      <c r="G8" s="4"/>
      <c r="H8" s="4"/>
    </row>
    <row r="9" spans="1:8" ht="33.75" customHeight="1" x14ac:dyDescent="0.2">
      <c r="A9" s="11" t="s">
        <v>6</v>
      </c>
      <c r="C9" s="4" t="s">
        <v>7</v>
      </c>
      <c r="D9" s="4"/>
      <c r="E9" s="4"/>
      <c r="F9" s="4"/>
      <c r="G9" s="4"/>
      <c r="H9" s="4"/>
    </row>
    <row r="10" spans="1:8" ht="33.75" customHeight="1" x14ac:dyDescent="0.2">
      <c r="A10" s="11" t="s">
        <v>8</v>
      </c>
      <c r="C10" s="4" t="s">
        <v>9</v>
      </c>
      <c r="D10" s="4"/>
      <c r="E10" s="4"/>
      <c r="F10" s="4"/>
      <c r="G10" s="4"/>
      <c r="H10" s="4"/>
    </row>
    <row r="11" spans="1:8" ht="33.75" customHeight="1" x14ac:dyDescent="0.2">
      <c r="A11" s="11" t="s">
        <v>10</v>
      </c>
      <c r="C11" s="4" t="s">
        <v>11</v>
      </c>
      <c r="D11" s="4"/>
      <c r="E11" s="4"/>
      <c r="F11" s="4"/>
      <c r="G11" s="4"/>
      <c r="H11" s="4"/>
    </row>
    <row r="12" spans="1:8" ht="33.75" customHeight="1" x14ac:dyDescent="0.2">
      <c r="A12" s="11" t="s">
        <v>12</v>
      </c>
      <c r="C12" s="4" t="s">
        <v>13</v>
      </c>
      <c r="D12" s="4"/>
      <c r="E12" s="4"/>
      <c r="F12" s="4"/>
      <c r="G12" s="4"/>
      <c r="H12" s="4"/>
    </row>
    <row r="13" spans="1:8" ht="33.75" customHeight="1" x14ac:dyDescent="0.2">
      <c r="A13" s="11" t="s">
        <v>14</v>
      </c>
      <c r="C13" s="4" t="s">
        <v>15</v>
      </c>
      <c r="D13" s="4"/>
      <c r="E13" s="4"/>
      <c r="F13" s="4"/>
      <c r="G13" s="4"/>
      <c r="H13" s="4"/>
    </row>
    <row r="15" spans="1:8" ht="15" customHeight="1" x14ac:dyDescent="0.2">
      <c r="A15" s="12" t="s">
        <v>16</v>
      </c>
    </row>
    <row r="16" spans="1:8" ht="19.5" customHeight="1" x14ac:dyDescent="0.2">
      <c r="A16" s="13"/>
      <c r="B16" s="3" t="s">
        <v>17</v>
      </c>
      <c r="C16" s="3"/>
      <c r="D16" s="3"/>
      <c r="E16" s="3"/>
      <c r="F16" s="3"/>
      <c r="G16" s="3"/>
      <c r="H16" s="3"/>
    </row>
    <row r="17" spans="1:8" ht="19.5" customHeight="1" x14ac:dyDescent="0.2">
      <c r="A17" s="15"/>
      <c r="B17" s="3" t="s">
        <v>18</v>
      </c>
      <c r="C17" s="3"/>
      <c r="D17" s="3"/>
      <c r="E17" s="3"/>
      <c r="F17" s="3"/>
      <c r="G17" s="3"/>
      <c r="H17" s="3"/>
    </row>
    <row r="18" spans="1:8" ht="19.5" customHeight="1" x14ac:dyDescent="0.2">
      <c r="A18" s="16"/>
      <c r="B18" s="3" t="s">
        <v>19</v>
      </c>
      <c r="C18" s="3"/>
      <c r="D18" s="3"/>
      <c r="E18" s="3"/>
      <c r="F18" s="3"/>
      <c r="G18" s="3"/>
      <c r="H18" s="3"/>
    </row>
    <row r="19" spans="1:8" ht="19.5" customHeight="1" x14ac:dyDescent="0.2">
      <c r="A19" s="17"/>
      <c r="B19" s="3" t="s">
        <v>20</v>
      </c>
      <c r="C19" s="3"/>
      <c r="D19" s="3"/>
      <c r="E19" s="3"/>
      <c r="F19" s="3"/>
      <c r="G19" s="3"/>
      <c r="H19" s="3"/>
    </row>
    <row r="21" spans="1:8" ht="15" customHeight="1" x14ac:dyDescent="0.2">
      <c r="A21" s="6" t="s">
        <v>21</v>
      </c>
      <c r="B21" s="6"/>
      <c r="C21" s="6"/>
      <c r="D21" s="6"/>
      <c r="E21" s="6"/>
      <c r="F21" s="6"/>
      <c r="G21" s="6"/>
      <c r="H21" s="6"/>
    </row>
  </sheetData>
  <mergeCells count="15">
    <mergeCell ref="B16:H16"/>
    <mergeCell ref="B17:H17"/>
    <mergeCell ref="B18:H18"/>
    <mergeCell ref="B19:H19"/>
    <mergeCell ref="A21:H21"/>
    <mergeCell ref="C9:H9"/>
    <mergeCell ref="C10:H10"/>
    <mergeCell ref="C11:H11"/>
    <mergeCell ref="C12:H12"/>
    <mergeCell ref="C13:H13"/>
    <mergeCell ref="A1:H2"/>
    <mergeCell ref="A4:H4"/>
    <mergeCell ref="A5:H5"/>
    <mergeCell ref="C7:H7"/>
    <mergeCell ref="C8:H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showGridLines="0" zoomScaleNormal="100" workbookViewId="0">
      <pane xSplit="2" ySplit="3" topLeftCell="C4" activePane="bottomRight" state="frozen"/>
      <selection pane="topRight" activeCell="C1" sqref="C1"/>
      <selection pane="bottomLeft" activeCell="A4" sqref="A4"/>
      <selection pane="bottomRight" activeCell="Q3" sqref="Q1:U1048576"/>
    </sheetView>
  </sheetViews>
  <sheetFormatPr baseColWidth="10" defaultColWidth="8.6640625" defaultRowHeight="15" x14ac:dyDescent="0.2"/>
  <cols>
    <col min="1" max="1" width="4" customWidth="1"/>
    <col min="2" max="2" width="36" customWidth="1"/>
    <col min="3" max="3" width="17" customWidth="1"/>
    <col min="4" max="4" width="20" customWidth="1"/>
    <col min="5" max="5" width="32" customWidth="1"/>
    <col min="6" max="9" width="8" customWidth="1"/>
    <col min="10" max="10" width="9" customWidth="1"/>
    <col min="11" max="11" width="8" customWidth="1"/>
    <col min="12" max="12" width="9" customWidth="1"/>
    <col min="13" max="13" width="12" customWidth="1"/>
    <col min="14" max="14" width="8" customWidth="1"/>
    <col min="15" max="15" width="12" customWidth="1"/>
    <col min="16" max="16" width="48" customWidth="1"/>
  </cols>
  <sheetData>
    <row r="1" spans="1:16" ht="30" customHeight="1" x14ac:dyDescent="0.2">
      <c r="A1" s="2" t="s">
        <v>22</v>
      </c>
      <c r="B1" s="2"/>
      <c r="C1" s="2"/>
      <c r="D1" s="2"/>
      <c r="E1" s="2"/>
      <c r="F1" s="2"/>
      <c r="G1" s="2"/>
      <c r="H1" s="2"/>
      <c r="I1" s="2"/>
      <c r="J1" s="2"/>
      <c r="K1" s="2"/>
      <c r="L1" s="2"/>
      <c r="M1" s="2"/>
      <c r="N1" s="2"/>
      <c r="O1" s="2"/>
      <c r="P1" s="2"/>
    </row>
    <row r="2" spans="1:16" ht="25.5" customHeight="1" x14ac:dyDescent="0.2">
      <c r="A2" s="1" t="s">
        <v>23</v>
      </c>
      <c r="B2" s="1"/>
      <c r="C2" s="1"/>
      <c r="D2" s="1"/>
      <c r="E2" s="1"/>
      <c r="F2" s="1"/>
      <c r="G2" s="1"/>
      <c r="H2" s="1"/>
      <c r="I2" s="1"/>
      <c r="J2" s="1"/>
      <c r="K2" s="1"/>
      <c r="L2" s="1"/>
      <c r="M2" s="1"/>
      <c r="N2" s="1"/>
      <c r="O2" s="1"/>
      <c r="P2" s="1"/>
    </row>
    <row r="3" spans="1:16" ht="42" customHeight="1" x14ac:dyDescent="0.2">
      <c r="A3" s="18" t="s">
        <v>24</v>
      </c>
      <c r="B3" s="18" t="s">
        <v>25</v>
      </c>
      <c r="C3" s="18" t="s">
        <v>26</v>
      </c>
      <c r="D3" s="18" t="s">
        <v>27</v>
      </c>
      <c r="E3" s="18" t="s">
        <v>28</v>
      </c>
      <c r="F3" s="18" t="s">
        <v>29</v>
      </c>
      <c r="G3" s="18" t="s">
        <v>30</v>
      </c>
      <c r="H3" s="18" t="s">
        <v>31</v>
      </c>
      <c r="I3" s="18" t="s">
        <v>32</v>
      </c>
      <c r="J3" s="18" t="s">
        <v>33</v>
      </c>
      <c r="K3" s="18" t="s">
        <v>34</v>
      </c>
      <c r="L3" s="18" t="s">
        <v>35</v>
      </c>
      <c r="M3" s="18" t="s">
        <v>36</v>
      </c>
      <c r="N3" s="18" t="s">
        <v>37</v>
      </c>
      <c r="O3" s="18" t="s">
        <v>38</v>
      </c>
      <c r="P3" s="18" t="s">
        <v>39</v>
      </c>
    </row>
    <row r="4" spans="1:16" ht="99.75" customHeight="1" x14ac:dyDescent="0.2">
      <c r="A4" s="19">
        <v>2</v>
      </c>
      <c r="B4" s="20" t="s">
        <v>40</v>
      </c>
      <c r="C4" s="20" t="s">
        <v>41</v>
      </c>
      <c r="D4" s="20" t="s">
        <v>42</v>
      </c>
      <c r="E4" s="20" t="s">
        <v>43</v>
      </c>
      <c r="F4" s="19">
        <v>3</v>
      </c>
      <c r="G4" s="19">
        <v>3</v>
      </c>
      <c r="H4" s="19">
        <v>1</v>
      </c>
      <c r="I4" s="19">
        <v>1</v>
      </c>
      <c r="J4" s="19">
        <v>0</v>
      </c>
      <c r="K4" s="19">
        <v>0</v>
      </c>
      <c r="L4" s="19">
        <f>IF(COUNT(F4:K4)=0,"",ROUND(((F4*Методика!$B$4+G4*Методика!$B$5+H4*Методика!$B$6+I4*Методика!$B$7+J4*Методика!$B$8+K4*Методика!$B$9)/3)*100,1))</f>
        <v>51.7</v>
      </c>
      <c r="M4" s="19" t="str">
        <f>IF(L4="","",INDEX(Методика!$C$15:$C$19,MATCH(L4,Методика!$A$15:$A$19,1)))</f>
        <v>Среднее</v>
      </c>
      <c r="N4" s="19" t="s">
        <v>44</v>
      </c>
      <c r="O4" s="19" t="str">
        <f t="shared" ref="O4:O11" si="0">IF(M4="","",IF(N4="Да",IF(M4="Критическое","Критическое","Высокое"),M4))</f>
        <v>Среднее</v>
      </c>
      <c r="P4" s="20" t="s">
        <v>45</v>
      </c>
    </row>
    <row r="5" spans="1:16" ht="99.75" customHeight="1" x14ac:dyDescent="0.2">
      <c r="A5" s="19">
        <v>4</v>
      </c>
      <c r="B5" s="20" t="s">
        <v>46</v>
      </c>
      <c r="C5" s="20" t="s">
        <v>41</v>
      </c>
      <c r="D5" s="20" t="s">
        <v>47</v>
      </c>
      <c r="E5" s="20" t="s">
        <v>48</v>
      </c>
      <c r="F5" s="19">
        <v>3</v>
      </c>
      <c r="G5" s="19">
        <v>2</v>
      </c>
      <c r="H5" s="19">
        <v>2</v>
      </c>
      <c r="I5" s="19">
        <v>1</v>
      </c>
      <c r="J5" s="19">
        <v>1</v>
      </c>
      <c r="K5" s="19">
        <v>2</v>
      </c>
      <c r="L5" s="19">
        <f>IF(COUNT(F5:K5)=0,"",ROUND(((F5*Методика!$B$4+G5*Методика!$B$5+H5*Методика!$B$6+I5*Методика!$B$7+J5*Методика!$B$8+K5*Методика!$B$9)/3)*100,1))</f>
        <v>65</v>
      </c>
      <c r="M5" s="19" t="str">
        <f>IF(L5="","",INDEX(Методика!$C$15:$C$19,MATCH(L5,Методика!$A$15:$A$19,1)))</f>
        <v>Среднее</v>
      </c>
      <c r="N5" s="19" t="s">
        <v>44</v>
      </c>
      <c r="O5" s="19" t="str">
        <f t="shared" si="0"/>
        <v>Среднее</v>
      </c>
      <c r="P5" s="20" t="s">
        <v>49</v>
      </c>
    </row>
    <row r="6" spans="1:16" ht="99.75" customHeight="1" x14ac:dyDescent="0.2">
      <c r="A6" s="19">
        <v>14</v>
      </c>
      <c r="B6" s="20" t="s">
        <v>50</v>
      </c>
      <c r="C6" s="20" t="s">
        <v>51</v>
      </c>
      <c r="D6" s="20" t="s">
        <v>52</v>
      </c>
      <c r="E6" s="20" t="s">
        <v>53</v>
      </c>
      <c r="F6" s="19">
        <v>2</v>
      </c>
      <c r="G6" s="19">
        <v>2</v>
      </c>
      <c r="H6" s="19">
        <v>1</v>
      </c>
      <c r="I6" s="19">
        <v>1</v>
      </c>
      <c r="J6" s="19">
        <v>0</v>
      </c>
      <c r="K6" s="19">
        <v>0</v>
      </c>
      <c r="L6" s="19">
        <f>IF(COUNT(F6:K6)=0,"",ROUND(((F6*Методика!$B$4+G6*Методика!$B$5+H6*Методика!$B$6+I6*Методика!$B$7+J6*Методика!$B$8+K6*Методика!$B$9)/3)*100,1))</f>
        <v>38.299999999999997</v>
      </c>
      <c r="M6" s="19" t="str">
        <f>IF(L6="","",INDEX(Методика!$C$15:$C$19,MATCH(L6,Методика!$A$15:$A$19,1)))</f>
        <v>Низкое</v>
      </c>
      <c r="N6" s="19" t="s">
        <v>44</v>
      </c>
      <c r="O6" s="19" t="str">
        <f t="shared" si="0"/>
        <v>Низкое</v>
      </c>
      <c r="P6" s="20" t="s">
        <v>54</v>
      </c>
    </row>
    <row r="7" spans="1:16" ht="99.75" customHeight="1" x14ac:dyDescent="0.2">
      <c r="A7" s="19">
        <v>16</v>
      </c>
      <c r="B7" s="20" t="s">
        <v>55</v>
      </c>
      <c r="C7" s="20" t="s">
        <v>41</v>
      </c>
      <c r="D7" s="20" t="s">
        <v>56</v>
      </c>
      <c r="E7" s="20" t="s">
        <v>57</v>
      </c>
      <c r="F7" s="19">
        <v>3</v>
      </c>
      <c r="G7" s="19">
        <v>3</v>
      </c>
      <c r="H7" s="19">
        <v>1</v>
      </c>
      <c r="I7" s="19">
        <v>1</v>
      </c>
      <c r="J7" s="19">
        <v>1</v>
      </c>
      <c r="K7" s="19">
        <v>1</v>
      </c>
      <c r="L7" s="19">
        <f>IF(COUNT(F7:K7)=0,"",ROUND(((F7*Методика!$B$4+G7*Методика!$B$5+H7*Методика!$B$6+I7*Методика!$B$7+J7*Методика!$B$8+K7*Методика!$B$9)/3)*100,1))</f>
        <v>60</v>
      </c>
      <c r="M7" s="19" t="str">
        <f>IF(L7="","",INDEX(Методика!$C$15:$C$19,MATCH(L7,Методика!$A$15:$A$19,1)))</f>
        <v>Среднее</v>
      </c>
      <c r="N7" s="19" t="s">
        <v>44</v>
      </c>
      <c r="O7" s="19" t="str">
        <f t="shared" si="0"/>
        <v>Среднее</v>
      </c>
      <c r="P7" s="20" t="s">
        <v>58</v>
      </c>
    </row>
    <row r="8" spans="1:16" ht="99.75" customHeight="1" x14ac:dyDescent="0.2">
      <c r="A8" s="19">
        <v>17</v>
      </c>
      <c r="B8" s="20" t="s">
        <v>59</v>
      </c>
      <c r="C8" s="20" t="s">
        <v>60</v>
      </c>
      <c r="D8" s="20" t="s">
        <v>61</v>
      </c>
      <c r="E8" s="20" t="s">
        <v>62</v>
      </c>
      <c r="F8" s="19">
        <v>1</v>
      </c>
      <c r="G8" s="19">
        <v>3</v>
      </c>
      <c r="H8" s="19">
        <v>1</v>
      </c>
      <c r="I8" s="19">
        <v>1</v>
      </c>
      <c r="J8" s="19">
        <v>1</v>
      </c>
      <c r="K8" s="19">
        <v>2</v>
      </c>
      <c r="L8" s="19">
        <f>IF(COUNT(F8:K8)=0,"",ROUND(((F8*Методика!$B$4+G8*Методика!$B$5+H8*Методика!$B$6+I8*Методика!$B$7+J8*Методика!$B$8+K8*Методика!$B$9)/3)*100,1))</f>
        <v>46.7</v>
      </c>
      <c r="M8" s="19" t="str">
        <f>IF(L8="","",INDEX(Методика!$C$15:$C$19,MATCH(L8,Методика!$A$15:$A$19,1)))</f>
        <v>Низкое</v>
      </c>
      <c r="N8" s="19" t="s">
        <v>44</v>
      </c>
      <c r="O8" s="19" t="str">
        <f t="shared" si="0"/>
        <v>Низкое</v>
      </c>
      <c r="P8" s="20" t="s">
        <v>63</v>
      </c>
    </row>
    <row r="9" spans="1:16" ht="105" customHeight="1" x14ac:dyDescent="0.2">
      <c r="A9" s="19">
        <v>22</v>
      </c>
      <c r="B9" s="20" t="s">
        <v>64</v>
      </c>
      <c r="C9" s="20" t="s">
        <v>65</v>
      </c>
      <c r="D9" s="20" t="s">
        <v>66</v>
      </c>
      <c r="E9" s="20" t="s">
        <v>442</v>
      </c>
      <c r="F9" s="19">
        <v>3</v>
      </c>
      <c r="G9" s="19">
        <v>3</v>
      </c>
      <c r="H9" s="19">
        <v>2</v>
      </c>
      <c r="I9" s="19">
        <v>2</v>
      </c>
      <c r="J9" s="19">
        <v>1</v>
      </c>
      <c r="K9" s="19">
        <v>3</v>
      </c>
      <c r="L9" s="19">
        <f>IF(COUNT(F9:K9)=0,"",ROUND(((F9*Методика!$B$4+G9*Методика!$B$5+H9*Методика!$B$6+I9*Методика!$B$7+J9*Методика!$B$8+K9*Методика!$B$9)/3)*100,1))</f>
        <v>78.3</v>
      </c>
      <c r="M9" s="19" t="str">
        <f>IF(L9="","",INDEX(Методика!$C$15:$C$19,MATCH(L9,Методика!$A$15:$A$19,1)))</f>
        <v>Высокое</v>
      </c>
      <c r="N9" s="19" t="s">
        <v>44</v>
      </c>
      <c r="O9" s="19" t="str">
        <f t="shared" si="0"/>
        <v>Высокое</v>
      </c>
      <c r="P9" s="20" t="s">
        <v>68</v>
      </c>
    </row>
    <row r="10" spans="1:16" ht="105" customHeight="1" x14ac:dyDescent="0.2">
      <c r="A10" s="19">
        <v>23</v>
      </c>
      <c r="B10" s="20" t="s">
        <v>69</v>
      </c>
      <c r="C10" s="20" t="s">
        <v>65</v>
      </c>
      <c r="D10" s="20" t="s">
        <v>70</v>
      </c>
      <c r="E10" s="20" t="s">
        <v>71</v>
      </c>
      <c r="F10" s="19">
        <v>3</v>
      </c>
      <c r="G10" s="19">
        <v>3</v>
      </c>
      <c r="H10" s="19">
        <v>2</v>
      </c>
      <c r="I10" s="19">
        <v>2</v>
      </c>
      <c r="J10" s="19">
        <v>1</v>
      </c>
      <c r="K10" s="19">
        <v>2</v>
      </c>
      <c r="L10" s="19">
        <f>IF(COUNT(F10:K10)=0,"",ROUND(((F10*Методика!$B$4+G10*Методика!$B$5+H10*Методика!$B$6+I10*Методика!$B$7+J10*Методика!$B$8+K10*Методика!$B$9)/3)*100,1))</f>
        <v>75</v>
      </c>
      <c r="M10" s="19" t="str">
        <f>IF(L10="","",INDEX(Методика!$C$15:$C$19,MATCH(L10,Методика!$A$15:$A$19,1)))</f>
        <v>Высокое</v>
      </c>
      <c r="N10" s="19" t="s">
        <v>44</v>
      </c>
      <c r="O10" s="19" t="str">
        <f t="shared" si="0"/>
        <v>Высокое</v>
      </c>
      <c r="P10" s="20" t="s">
        <v>72</v>
      </c>
    </row>
    <row r="11" spans="1:16" ht="105" customHeight="1" x14ac:dyDescent="0.2">
      <c r="A11" s="19">
        <v>37</v>
      </c>
      <c r="B11" s="20" t="s">
        <v>74</v>
      </c>
      <c r="C11" s="21" t="s">
        <v>75</v>
      </c>
      <c r="D11" s="21" t="s">
        <v>76</v>
      </c>
      <c r="E11" s="20" t="s">
        <v>77</v>
      </c>
      <c r="F11" s="22">
        <v>1</v>
      </c>
      <c r="G11" s="22">
        <v>3</v>
      </c>
      <c r="H11" s="22">
        <v>1</v>
      </c>
      <c r="I11" s="22">
        <v>1</v>
      </c>
      <c r="J11" s="22">
        <v>1</v>
      </c>
      <c r="K11" s="22">
        <v>3</v>
      </c>
      <c r="L11" s="19">
        <f>IF(COUNT(F11:K11)=0,"",ROUND(((F11*Методика!$B$4+G11*Методика!$B$5+H11*Методика!$B$6+I11*Методика!$B$7+J11*Методика!$B$8+K11*Методика!$B$9)/3)*100,1))</f>
        <v>50</v>
      </c>
      <c r="M11" s="19" t="str">
        <f>IF(L11="","",INDEX(Методика!$C$15:$C$19,MATCH(L11,Методика!$A$15:$A$19,1)))</f>
        <v>Среднее</v>
      </c>
      <c r="N11" s="22" t="s">
        <v>44</v>
      </c>
      <c r="O11" s="19" t="str">
        <f t="shared" si="0"/>
        <v>Среднее</v>
      </c>
      <c r="P11" s="20" t="s">
        <v>78</v>
      </c>
    </row>
  </sheetData>
  <autoFilter ref="A3:P11" xr:uid="{00000000-0009-0000-0000-000001000000}"/>
  <mergeCells count="2">
    <mergeCell ref="A1:P1"/>
    <mergeCell ref="A2:P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
  <sheetViews>
    <sheetView showGridLines="0" zoomScaleNormal="100" workbookViewId="0">
      <pane xSplit="2" ySplit="3" topLeftCell="C4" activePane="bottomRight" state="frozen"/>
      <selection pane="topRight" activeCell="C1" sqref="C1"/>
      <selection pane="bottomLeft" activeCell="A4" sqref="A4"/>
      <selection pane="bottomRight" activeCell="Q3" sqref="Q1:U1048576"/>
    </sheetView>
  </sheetViews>
  <sheetFormatPr baseColWidth="10" defaultColWidth="8.6640625" defaultRowHeight="15" x14ac:dyDescent="0.2"/>
  <cols>
    <col min="1" max="1" width="4" customWidth="1"/>
    <col min="2" max="2" width="36" customWidth="1"/>
    <col min="3" max="3" width="17" customWidth="1"/>
    <col min="4" max="4" width="20" customWidth="1"/>
    <col min="5" max="5" width="32" customWidth="1"/>
    <col min="6" max="9" width="8" customWidth="1"/>
    <col min="10" max="10" width="9" customWidth="1"/>
    <col min="11" max="11" width="8" customWidth="1"/>
    <col min="12" max="12" width="9" customWidth="1"/>
    <col min="13" max="13" width="12" customWidth="1"/>
    <col min="14" max="14" width="8" customWidth="1"/>
    <col min="15" max="15" width="12" customWidth="1"/>
    <col min="16" max="16" width="48" customWidth="1"/>
  </cols>
  <sheetData>
    <row r="1" spans="1:16" ht="30" customHeight="1" x14ac:dyDescent="0.2">
      <c r="A1" s="2" t="s">
        <v>79</v>
      </c>
      <c r="B1" s="2"/>
      <c r="C1" s="2"/>
      <c r="D1" s="2"/>
      <c r="E1" s="2"/>
      <c r="F1" s="2"/>
      <c r="G1" s="2"/>
      <c r="H1" s="2"/>
      <c r="I1" s="2"/>
      <c r="J1" s="2"/>
      <c r="K1" s="2"/>
      <c r="L1" s="2"/>
      <c r="M1" s="2"/>
      <c r="N1" s="2"/>
      <c r="O1" s="2"/>
      <c r="P1" s="2"/>
    </row>
    <row r="2" spans="1:16" ht="25.5" customHeight="1" x14ac:dyDescent="0.2">
      <c r="A2" s="1" t="s">
        <v>80</v>
      </c>
      <c r="B2" s="1"/>
      <c r="C2" s="1"/>
      <c r="D2" s="1"/>
      <c r="E2" s="1"/>
      <c r="F2" s="1"/>
      <c r="G2" s="1"/>
      <c r="H2" s="1"/>
      <c r="I2" s="1"/>
      <c r="J2" s="1"/>
      <c r="K2" s="1"/>
      <c r="L2" s="1"/>
      <c r="M2" s="1"/>
      <c r="N2" s="1"/>
      <c r="O2" s="1"/>
      <c r="P2" s="1"/>
    </row>
    <row r="3" spans="1:16" ht="42" customHeight="1" x14ac:dyDescent="0.2">
      <c r="A3" s="18" t="s">
        <v>24</v>
      </c>
      <c r="B3" s="18" t="s">
        <v>25</v>
      </c>
      <c r="C3" s="18" t="s">
        <v>26</v>
      </c>
      <c r="D3" s="18" t="s">
        <v>27</v>
      </c>
      <c r="E3" s="18" t="s">
        <v>28</v>
      </c>
      <c r="F3" s="18" t="s">
        <v>29</v>
      </c>
      <c r="G3" s="18" t="s">
        <v>30</v>
      </c>
      <c r="H3" s="18" t="s">
        <v>31</v>
      </c>
      <c r="I3" s="18" t="s">
        <v>32</v>
      </c>
      <c r="J3" s="18" t="s">
        <v>33</v>
      </c>
      <c r="K3" s="18" t="s">
        <v>34</v>
      </c>
      <c r="L3" s="18" t="s">
        <v>35</v>
      </c>
      <c r="M3" s="18" t="s">
        <v>36</v>
      </c>
      <c r="N3" s="18" t="s">
        <v>37</v>
      </c>
      <c r="O3" s="18" t="s">
        <v>38</v>
      </c>
      <c r="P3" s="18" t="s">
        <v>39</v>
      </c>
    </row>
    <row r="4" spans="1:16" ht="99.75" customHeight="1" x14ac:dyDescent="0.2">
      <c r="A4" s="19">
        <v>1</v>
      </c>
      <c r="B4" s="20" t="s">
        <v>81</v>
      </c>
      <c r="C4" s="20" t="s">
        <v>82</v>
      </c>
      <c r="D4" s="20" t="s">
        <v>83</v>
      </c>
      <c r="E4" s="20" t="s">
        <v>84</v>
      </c>
      <c r="F4" s="19">
        <v>3</v>
      </c>
      <c r="G4" s="19">
        <v>2</v>
      </c>
      <c r="H4" s="19">
        <v>3</v>
      </c>
      <c r="I4" s="19">
        <v>0</v>
      </c>
      <c r="J4" s="19">
        <v>0</v>
      </c>
      <c r="K4" s="19">
        <v>3</v>
      </c>
      <c r="L4" s="19">
        <f>IF(COUNT(F4:K4)=0,"",ROUND(((F4*Методика!$B$4+G4*Методика!$B$5+H4*Методика!$B$6+I4*Методика!$B$7+J4*Методика!$B$8+K4*Методика!$B$9)/3)*100,1))</f>
        <v>65</v>
      </c>
      <c r="M4" s="19" t="str">
        <f>IF(L4="","",INDEX(Методика!$C$15:$C$19,MATCH(L4,Методика!$A$15:$A$19,1)))</f>
        <v>Среднее</v>
      </c>
      <c r="N4" s="19" t="s">
        <v>85</v>
      </c>
      <c r="O4" s="19" t="str">
        <f t="shared" ref="O4:O26" si="0">IF(M4="","",IF(N4="Да",IF(M4="Критическое","Критическое","Высокое"),M4))</f>
        <v>Высокое</v>
      </c>
      <c r="P4" s="20" t="s">
        <v>86</v>
      </c>
    </row>
    <row r="5" spans="1:16" ht="99.75" customHeight="1" x14ac:dyDescent="0.2">
      <c r="A5" s="19">
        <v>5</v>
      </c>
      <c r="B5" s="20" t="s">
        <v>87</v>
      </c>
      <c r="C5" s="20" t="s">
        <v>88</v>
      </c>
      <c r="D5" s="20" t="s">
        <v>89</v>
      </c>
      <c r="E5" s="20" t="s">
        <v>90</v>
      </c>
      <c r="F5" s="19">
        <v>3</v>
      </c>
      <c r="G5" s="19">
        <v>2</v>
      </c>
      <c r="H5" s="19">
        <v>1</v>
      </c>
      <c r="I5" s="19">
        <v>2</v>
      </c>
      <c r="J5" s="19">
        <v>1</v>
      </c>
      <c r="K5" s="19">
        <v>1</v>
      </c>
      <c r="L5" s="19">
        <f>IF(COUNT(F5:K5)=0,"",ROUND(((F5*Методика!$B$4+G5*Методика!$B$5+H5*Методика!$B$6+I5*Методика!$B$7+J5*Методика!$B$8+K5*Методика!$B$9)/3)*100,1))</f>
        <v>60</v>
      </c>
      <c r="M5" s="19" t="str">
        <f>IF(L5="","",INDEX(Методика!$C$15:$C$19,MATCH(L5,Методика!$A$15:$A$19,1)))</f>
        <v>Среднее</v>
      </c>
      <c r="N5" s="19" t="s">
        <v>44</v>
      </c>
      <c r="O5" s="19" t="str">
        <f t="shared" si="0"/>
        <v>Среднее</v>
      </c>
      <c r="P5" s="20" t="s">
        <v>91</v>
      </c>
    </row>
    <row r="6" spans="1:16" ht="99.75" customHeight="1" x14ac:dyDescent="0.2">
      <c r="A6" s="19">
        <v>6</v>
      </c>
      <c r="B6" s="20" t="s">
        <v>92</v>
      </c>
      <c r="C6" s="20" t="s">
        <v>93</v>
      </c>
      <c r="D6" s="20" t="s">
        <v>89</v>
      </c>
      <c r="E6" s="20" t="s">
        <v>94</v>
      </c>
      <c r="F6" s="19">
        <v>2</v>
      </c>
      <c r="G6" s="19">
        <v>1</v>
      </c>
      <c r="H6" s="19">
        <v>2</v>
      </c>
      <c r="I6" s="19">
        <v>2</v>
      </c>
      <c r="J6" s="19">
        <v>1</v>
      </c>
      <c r="K6" s="19">
        <v>1</v>
      </c>
      <c r="L6" s="19">
        <f>IF(COUNT(F6:K6)=0,"",ROUND(((F6*Методика!$B$4+G6*Методика!$B$5+H6*Методика!$B$6+I6*Методика!$B$7+J6*Методика!$B$8+K6*Методика!$B$9)/3)*100,1))</f>
        <v>53.3</v>
      </c>
      <c r="M6" s="19" t="str">
        <f>IF(L6="","",INDEX(Методика!$C$15:$C$19,MATCH(L6,Методика!$A$15:$A$19,1)))</f>
        <v>Среднее</v>
      </c>
      <c r="N6" s="19" t="s">
        <v>44</v>
      </c>
      <c r="O6" s="19" t="str">
        <f t="shared" si="0"/>
        <v>Среднее</v>
      </c>
      <c r="P6" s="20" t="s">
        <v>95</v>
      </c>
    </row>
    <row r="7" spans="1:16" ht="99.75" customHeight="1" x14ac:dyDescent="0.2">
      <c r="A7" s="19">
        <v>8</v>
      </c>
      <c r="B7" s="20" t="s">
        <v>96</v>
      </c>
      <c r="C7" s="20" t="s">
        <v>97</v>
      </c>
      <c r="D7" s="20" t="s">
        <v>98</v>
      </c>
      <c r="E7" s="20" t="s">
        <v>99</v>
      </c>
      <c r="F7" s="19">
        <v>2</v>
      </c>
      <c r="G7" s="19">
        <v>1</v>
      </c>
      <c r="H7" s="19">
        <v>2</v>
      </c>
      <c r="I7" s="19">
        <v>1</v>
      </c>
      <c r="J7" s="19">
        <v>1</v>
      </c>
      <c r="K7" s="19">
        <v>1</v>
      </c>
      <c r="L7" s="19">
        <f>IF(COUNT(F7:K7)=0,"",ROUND(((F7*Методика!$B$4+G7*Методика!$B$5+H7*Методика!$B$6+I7*Методика!$B$7+J7*Методика!$B$8+K7*Методика!$B$9)/3)*100,1))</f>
        <v>48.3</v>
      </c>
      <c r="M7" s="19" t="str">
        <f>IF(L7="","",INDEX(Методика!$C$15:$C$19,MATCH(L7,Методика!$A$15:$A$19,1)))</f>
        <v>Низкое</v>
      </c>
      <c r="N7" s="19" t="s">
        <v>44</v>
      </c>
      <c r="O7" s="19" t="str">
        <f t="shared" si="0"/>
        <v>Низкое</v>
      </c>
      <c r="P7" s="20" t="s">
        <v>100</v>
      </c>
    </row>
    <row r="8" spans="1:16" ht="99.75" customHeight="1" x14ac:dyDescent="0.2">
      <c r="A8" s="19">
        <v>9</v>
      </c>
      <c r="B8" s="20" t="s">
        <v>101</v>
      </c>
      <c r="C8" s="20" t="s">
        <v>102</v>
      </c>
      <c r="D8" s="20" t="s">
        <v>103</v>
      </c>
      <c r="E8" s="20" t="s">
        <v>104</v>
      </c>
      <c r="F8" s="19">
        <v>2</v>
      </c>
      <c r="G8" s="19">
        <v>1</v>
      </c>
      <c r="H8" s="19">
        <v>1</v>
      </c>
      <c r="I8" s="19">
        <v>1</v>
      </c>
      <c r="J8" s="19">
        <v>0</v>
      </c>
      <c r="K8" s="19">
        <v>1</v>
      </c>
      <c r="L8" s="19">
        <f>IF(COUNT(F8:K8)=0,"",ROUND(((F8*Методика!$B$4+G8*Методика!$B$5+H8*Методика!$B$6+I8*Методика!$B$7+J8*Методика!$B$8+K8*Методика!$B$9)/3)*100,1))</f>
        <v>36.700000000000003</v>
      </c>
      <c r="M8" s="19" t="str">
        <f>IF(L8="","",INDEX(Методика!$C$15:$C$19,MATCH(L8,Методика!$A$15:$A$19,1)))</f>
        <v>Низкое</v>
      </c>
      <c r="N8" s="19" t="s">
        <v>44</v>
      </c>
      <c r="O8" s="19" t="str">
        <f t="shared" si="0"/>
        <v>Низкое</v>
      </c>
      <c r="P8" s="20" t="s">
        <v>105</v>
      </c>
    </row>
    <row r="9" spans="1:16" ht="99.75" customHeight="1" x14ac:dyDescent="0.2">
      <c r="A9" s="19">
        <v>10</v>
      </c>
      <c r="B9" s="20" t="s">
        <v>106</v>
      </c>
      <c r="C9" s="20" t="s">
        <v>107</v>
      </c>
      <c r="D9" s="20" t="s">
        <v>108</v>
      </c>
      <c r="E9" s="20" t="s">
        <v>109</v>
      </c>
      <c r="F9" s="19">
        <v>2</v>
      </c>
      <c r="G9" s="19">
        <v>1</v>
      </c>
      <c r="H9" s="19">
        <v>2</v>
      </c>
      <c r="I9" s="19">
        <v>1</v>
      </c>
      <c r="J9" s="19">
        <v>0</v>
      </c>
      <c r="K9" s="19">
        <v>1</v>
      </c>
      <c r="L9" s="19">
        <f>IF(COUNT(F9:K9)=0,"",ROUND(((F9*Методика!$B$4+G9*Методика!$B$5+H9*Методика!$B$6+I9*Методика!$B$7+J9*Методика!$B$8+K9*Методика!$B$9)/3)*100,1))</f>
        <v>43.3</v>
      </c>
      <c r="M9" s="19" t="str">
        <f>IF(L9="","",INDEX(Методика!$C$15:$C$19,MATCH(L9,Методика!$A$15:$A$19,1)))</f>
        <v>Низкое</v>
      </c>
      <c r="N9" s="19" t="s">
        <v>44</v>
      </c>
      <c r="O9" s="19" t="str">
        <f t="shared" si="0"/>
        <v>Низкое</v>
      </c>
      <c r="P9" s="20" t="s">
        <v>110</v>
      </c>
    </row>
    <row r="10" spans="1:16" ht="99.75" customHeight="1" x14ac:dyDescent="0.2">
      <c r="A10" s="19">
        <v>12</v>
      </c>
      <c r="B10" s="20" t="s">
        <v>111</v>
      </c>
      <c r="C10" s="20" t="s">
        <v>112</v>
      </c>
      <c r="D10" s="20" t="s">
        <v>113</v>
      </c>
      <c r="E10" s="20" t="s">
        <v>114</v>
      </c>
      <c r="F10" s="19">
        <v>3</v>
      </c>
      <c r="G10" s="19">
        <v>1</v>
      </c>
      <c r="H10" s="19">
        <v>2</v>
      </c>
      <c r="I10" s="19">
        <v>2</v>
      </c>
      <c r="J10" s="19">
        <v>2</v>
      </c>
      <c r="K10" s="19">
        <v>2</v>
      </c>
      <c r="L10" s="19">
        <f>IF(COUNT(F10:K10)=0,"",ROUND(((F10*Методика!$B$4+G10*Методика!$B$5+H10*Методика!$B$6+I10*Методика!$B$7+J10*Методика!$B$8+K10*Методика!$B$9)/3)*100,1))</f>
        <v>70</v>
      </c>
      <c r="M10" s="19" t="str">
        <f>IF(L10="","",INDEX(Методика!$C$15:$C$19,MATCH(L10,Методика!$A$15:$A$19,1)))</f>
        <v>Среднее</v>
      </c>
      <c r="N10" s="19" t="s">
        <v>85</v>
      </c>
      <c r="O10" s="19" t="str">
        <f t="shared" si="0"/>
        <v>Высокое</v>
      </c>
      <c r="P10" s="20" t="s">
        <v>115</v>
      </c>
    </row>
    <row r="11" spans="1:16" ht="99.75" customHeight="1" x14ac:dyDescent="0.2">
      <c r="A11" s="19">
        <v>13</v>
      </c>
      <c r="B11" s="20" t="s">
        <v>116</v>
      </c>
      <c r="C11" s="20" t="s">
        <v>117</v>
      </c>
      <c r="D11" s="20" t="s">
        <v>118</v>
      </c>
      <c r="E11" s="20" t="s">
        <v>119</v>
      </c>
      <c r="F11" s="19">
        <v>3</v>
      </c>
      <c r="G11" s="19">
        <v>1</v>
      </c>
      <c r="H11" s="19">
        <v>1</v>
      </c>
      <c r="I11" s="19">
        <v>2</v>
      </c>
      <c r="J11" s="19">
        <v>1</v>
      </c>
      <c r="K11" s="19">
        <v>1</v>
      </c>
      <c r="L11" s="19">
        <f>IF(COUNT(F11:K11)=0,"",ROUND(((F11*Методика!$B$4+G11*Методика!$B$5+H11*Методика!$B$6+I11*Методика!$B$7+J11*Методика!$B$8+K11*Методика!$B$9)/3)*100,1))</f>
        <v>55</v>
      </c>
      <c r="M11" s="19" t="str">
        <f>IF(L11="","",INDEX(Методика!$C$15:$C$19,MATCH(L11,Методика!$A$15:$A$19,1)))</f>
        <v>Среднее</v>
      </c>
      <c r="N11" s="19" t="s">
        <v>85</v>
      </c>
      <c r="O11" s="19" t="str">
        <f t="shared" si="0"/>
        <v>Высокое</v>
      </c>
      <c r="P11" s="20" t="s">
        <v>120</v>
      </c>
    </row>
    <row r="12" spans="1:16" ht="99.75" customHeight="1" x14ac:dyDescent="0.2">
      <c r="A12" s="19">
        <v>15</v>
      </c>
      <c r="B12" s="20" t="s">
        <v>121</v>
      </c>
      <c r="C12" s="20" t="s">
        <v>82</v>
      </c>
      <c r="D12" s="20" t="s">
        <v>122</v>
      </c>
      <c r="E12" s="20" t="s">
        <v>123</v>
      </c>
      <c r="F12" s="19">
        <v>3</v>
      </c>
      <c r="G12" s="19">
        <v>1</v>
      </c>
      <c r="H12" s="19">
        <v>3</v>
      </c>
      <c r="I12" s="19">
        <v>1</v>
      </c>
      <c r="J12" s="19">
        <v>0</v>
      </c>
      <c r="K12" s="19">
        <v>1</v>
      </c>
      <c r="L12" s="19">
        <f>IF(COUNT(F12:K12)=0,"",ROUND(((F12*Методика!$B$4+G12*Методика!$B$5+H12*Методика!$B$6+I12*Методика!$B$7+J12*Методика!$B$8+K12*Методика!$B$9)/3)*100,1))</f>
        <v>58.3</v>
      </c>
      <c r="M12" s="19" t="str">
        <f>IF(L12="","",INDEX(Методика!$C$15:$C$19,MATCH(L12,Методика!$A$15:$A$19,1)))</f>
        <v>Среднее</v>
      </c>
      <c r="N12" s="19" t="s">
        <v>44</v>
      </c>
      <c r="O12" s="19" t="str">
        <f t="shared" si="0"/>
        <v>Среднее</v>
      </c>
      <c r="P12" s="20" t="s">
        <v>124</v>
      </c>
    </row>
    <row r="13" spans="1:16" ht="99.75" customHeight="1" x14ac:dyDescent="0.2">
      <c r="A13" s="19">
        <v>18</v>
      </c>
      <c r="B13" s="20" t="s">
        <v>125</v>
      </c>
      <c r="C13" s="20" t="s">
        <v>126</v>
      </c>
      <c r="D13" s="20" t="s">
        <v>127</v>
      </c>
      <c r="E13" s="20" t="s">
        <v>128</v>
      </c>
      <c r="F13" s="19">
        <v>2</v>
      </c>
      <c r="G13" s="19">
        <v>1</v>
      </c>
      <c r="H13" s="19">
        <v>1</v>
      </c>
      <c r="I13" s="19">
        <v>2</v>
      </c>
      <c r="J13" s="19">
        <v>0</v>
      </c>
      <c r="K13" s="19">
        <v>1</v>
      </c>
      <c r="L13" s="19">
        <f>IF(COUNT(F13:K13)=0,"",ROUND(((F13*Методика!$B$4+G13*Методика!$B$5+H13*Методика!$B$6+I13*Методика!$B$7+J13*Методика!$B$8+K13*Методика!$B$9)/3)*100,1))</f>
        <v>41.7</v>
      </c>
      <c r="M13" s="19" t="str">
        <f>IF(L13="","",INDEX(Методика!$C$15:$C$19,MATCH(L13,Методика!$A$15:$A$19,1)))</f>
        <v>Низкое</v>
      </c>
      <c r="N13" s="19" t="s">
        <v>44</v>
      </c>
      <c r="O13" s="19" t="str">
        <f t="shared" si="0"/>
        <v>Низкое</v>
      </c>
      <c r="P13" s="20" t="s">
        <v>129</v>
      </c>
    </row>
    <row r="14" spans="1:16" ht="99.75" customHeight="1" x14ac:dyDescent="0.2">
      <c r="A14" s="19">
        <v>19</v>
      </c>
      <c r="B14" s="20" t="s">
        <v>130</v>
      </c>
      <c r="C14" s="20" t="s">
        <v>131</v>
      </c>
      <c r="D14" s="20" t="s">
        <v>132</v>
      </c>
      <c r="E14" s="20" t="s">
        <v>133</v>
      </c>
      <c r="F14" s="19">
        <v>2</v>
      </c>
      <c r="G14" s="19">
        <v>1</v>
      </c>
      <c r="H14" s="19">
        <v>2</v>
      </c>
      <c r="I14" s="19">
        <v>2</v>
      </c>
      <c r="J14" s="19">
        <v>1</v>
      </c>
      <c r="K14" s="19">
        <v>0</v>
      </c>
      <c r="L14" s="19">
        <f>IF(COUNT(F14:K14)=0,"",ROUND(((F14*Методика!$B$4+G14*Методика!$B$5+H14*Методика!$B$6+I14*Методика!$B$7+J14*Методика!$B$8+K14*Методика!$B$9)/3)*100,1))</f>
        <v>50</v>
      </c>
      <c r="M14" s="19" t="str">
        <f>IF(L14="","",INDEX(Методика!$C$15:$C$19,MATCH(L14,Методика!$A$15:$A$19,1)))</f>
        <v>Среднее</v>
      </c>
      <c r="N14" s="19" t="s">
        <v>44</v>
      </c>
      <c r="O14" s="19" t="str">
        <f t="shared" si="0"/>
        <v>Среднее</v>
      </c>
      <c r="P14" s="20" t="s">
        <v>134</v>
      </c>
    </row>
    <row r="15" spans="1:16" ht="99.75" customHeight="1" x14ac:dyDescent="0.2">
      <c r="A15" s="19">
        <v>20</v>
      </c>
      <c r="B15" s="20" t="s">
        <v>135</v>
      </c>
      <c r="C15" s="20" t="s">
        <v>136</v>
      </c>
      <c r="D15" s="20" t="s">
        <v>137</v>
      </c>
      <c r="E15" s="20" t="s">
        <v>138</v>
      </c>
      <c r="F15" s="19">
        <v>3</v>
      </c>
      <c r="G15" s="19">
        <v>1</v>
      </c>
      <c r="H15" s="19">
        <v>2</v>
      </c>
      <c r="I15" s="19">
        <v>1</v>
      </c>
      <c r="J15" s="19">
        <v>0</v>
      </c>
      <c r="K15" s="19">
        <v>1</v>
      </c>
      <c r="L15" s="19">
        <f>IF(COUNT(F15:K15)=0,"",ROUND(((F15*Методика!$B$4+G15*Методика!$B$5+H15*Методика!$B$6+I15*Методика!$B$7+J15*Методика!$B$8+K15*Методика!$B$9)/3)*100,1))</f>
        <v>51.7</v>
      </c>
      <c r="M15" s="19" t="str">
        <f>IF(L15="","",INDEX(Методика!$C$15:$C$19,MATCH(L15,Методика!$A$15:$A$19,1)))</f>
        <v>Среднее</v>
      </c>
      <c r="N15" s="19" t="s">
        <v>44</v>
      </c>
      <c r="O15" s="19" t="str">
        <f t="shared" si="0"/>
        <v>Среднее</v>
      </c>
      <c r="P15" s="20" t="s">
        <v>139</v>
      </c>
    </row>
    <row r="16" spans="1:16" ht="99.75" customHeight="1" x14ac:dyDescent="0.2">
      <c r="A16" s="19">
        <v>21</v>
      </c>
      <c r="B16" s="20" t="s">
        <v>140</v>
      </c>
      <c r="C16" s="20" t="s">
        <v>82</v>
      </c>
      <c r="D16" s="20" t="s">
        <v>141</v>
      </c>
      <c r="E16" s="20" t="s">
        <v>142</v>
      </c>
      <c r="F16" s="19">
        <v>1</v>
      </c>
      <c r="G16" s="19">
        <v>1</v>
      </c>
      <c r="H16" s="19">
        <v>0</v>
      </c>
      <c r="I16" s="19">
        <v>0</v>
      </c>
      <c r="J16" s="19">
        <v>0</v>
      </c>
      <c r="K16" s="19">
        <v>1</v>
      </c>
      <c r="L16" s="19">
        <f>IF(COUNT(F16:K16)=0,"",ROUND(((F16*Методика!$B$4+G16*Методика!$B$5+H16*Методика!$B$6+I16*Методика!$B$7+J16*Методика!$B$8+K16*Методика!$B$9)/3)*100,1))</f>
        <v>16.7</v>
      </c>
      <c r="M16" s="19" t="str">
        <f>IF(L16="","",INDEX(Методика!$C$15:$C$19,MATCH(L16,Методика!$A$15:$A$19,1)))</f>
        <v>Незначительное</v>
      </c>
      <c r="N16" s="19" t="s">
        <v>44</v>
      </c>
      <c r="O16" s="19" t="str">
        <f t="shared" si="0"/>
        <v>Незначительное</v>
      </c>
      <c r="P16" s="20" t="s">
        <v>143</v>
      </c>
    </row>
    <row r="17" spans="1:16" ht="105" customHeight="1" x14ac:dyDescent="0.2">
      <c r="A17" s="19">
        <v>25</v>
      </c>
      <c r="B17" s="20" t="s">
        <v>144</v>
      </c>
      <c r="C17" s="20" t="s">
        <v>145</v>
      </c>
      <c r="D17" s="20" t="s">
        <v>146</v>
      </c>
      <c r="E17" s="20" t="s">
        <v>147</v>
      </c>
      <c r="F17" s="19">
        <v>2</v>
      </c>
      <c r="G17" s="19">
        <v>1</v>
      </c>
      <c r="H17" s="19">
        <v>1</v>
      </c>
      <c r="I17" s="19">
        <v>1</v>
      </c>
      <c r="J17" s="19">
        <v>0</v>
      </c>
      <c r="K17" s="19">
        <v>1</v>
      </c>
      <c r="L17" s="19">
        <f>IF(COUNT(F17:K17)=0,"",ROUND(((F17*Методика!$B$4+G17*Методика!$B$5+H17*Методика!$B$6+I17*Методика!$B$7+J17*Методика!$B$8+K17*Методика!$B$9)/3)*100,1))</f>
        <v>36.700000000000003</v>
      </c>
      <c r="M17" s="19" t="str">
        <f>IF(L17="","",INDEX(Методика!$C$15:$C$19,MATCH(L17,Методика!$A$15:$A$19,1)))</f>
        <v>Низкое</v>
      </c>
      <c r="N17" s="19" t="s">
        <v>44</v>
      </c>
      <c r="O17" s="19" t="str">
        <f t="shared" si="0"/>
        <v>Низкое</v>
      </c>
      <c r="P17" s="20" t="s">
        <v>148</v>
      </c>
    </row>
    <row r="18" spans="1:16" ht="105" customHeight="1" x14ac:dyDescent="0.2">
      <c r="A18" s="19">
        <v>26</v>
      </c>
      <c r="B18" s="20" t="s">
        <v>149</v>
      </c>
      <c r="C18" s="20" t="s">
        <v>82</v>
      </c>
      <c r="D18" s="20" t="s">
        <v>150</v>
      </c>
      <c r="E18" s="20" t="s">
        <v>151</v>
      </c>
      <c r="F18" s="19">
        <v>1</v>
      </c>
      <c r="G18" s="19">
        <v>1</v>
      </c>
      <c r="H18" s="19">
        <v>0</v>
      </c>
      <c r="I18" s="19">
        <v>0</v>
      </c>
      <c r="J18" s="19">
        <v>1</v>
      </c>
      <c r="K18" s="19">
        <v>1</v>
      </c>
      <c r="L18" s="19">
        <f>IF(COUNT(F18:K18)=0,"",ROUND(((F18*Методика!$B$4+G18*Методика!$B$5+H18*Методика!$B$6+I18*Методика!$B$7+J18*Методика!$B$8+K18*Методика!$B$9)/3)*100,1))</f>
        <v>21.7</v>
      </c>
      <c r="M18" s="19" t="str">
        <f>IF(L18="","",INDEX(Методика!$C$15:$C$19,MATCH(L18,Методика!$A$15:$A$19,1)))</f>
        <v>Незначительное</v>
      </c>
      <c r="N18" s="19" t="s">
        <v>44</v>
      </c>
      <c r="O18" s="19" t="str">
        <f t="shared" si="0"/>
        <v>Незначительное</v>
      </c>
      <c r="P18" s="20" t="s">
        <v>152</v>
      </c>
    </row>
    <row r="19" spans="1:16" ht="105" customHeight="1" x14ac:dyDescent="0.2">
      <c r="A19" s="19">
        <v>27</v>
      </c>
      <c r="B19" s="20" t="s">
        <v>153</v>
      </c>
      <c r="C19" s="20" t="s">
        <v>126</v>
      </c>
      <c r="D19" s="20" t="s">
        <v>154</v>
      </c>
      <c r="E19" s="20" t="s">
        <v>155</v>
      </c>
      <c r="F19" s="19">
        <v>3</v>
      </c>
      <c r="G19" s="19">
        <v>1</v>
      </c>
      <c r="H19" s="19">
        <v>2</v>
      </c>
      <c r="I19" s="19">
        <v>1</v>
      </c>
      <c r="J19" s="19">
        <v>0</v>
      </c>
      <c r="K19" s="19">
        <v>1</v>
      </c>
      <c r="L19" s="19">
        <f>IF(COUNT(F19:K19)=0,"",ROUND(((F19*Методика!$B$4+G19*Методика!$B$5+H19*Методика!$B$6+I19*Методика!$B$7+J19*Методика!$B$8+K19*Методика!$B$9)/3)*100,1))</f>
        <v>51.7</v>
      </c>
      <c r="M19" s="19" t="str">
        <f>IF(L19="","",INDEX(Методика!$C$15:$C$19,MATCH(L19,Методика!$A$15:$A$19,1)))</f>
        <v>Среднее</v>
      </c>
      <c r="N19" s="19" t="s">
        <v>44</v>
      </c>
      <c r="O19" s="19" t="str">
        <f t="shared" si="0"/>
        <v>Среднее</v>
      </c>
      <c r="P19" s="20" t="s">
        <v>156</v>
      </c>
    </row>
    <row r="20" spans="1:16" ht="105" customHeight="1" x14ac:dyDescent="0.2">
      <c r="A20" s="19">
        <v>30</v>
      </c>
      <c r="B20" s="20" t="s">
        <v>157</v>
      </c>
      <c r="C20" s="20" t="s">
        <v>158</v>
      </c>
      <c r="D20" s="20" t="s">
        <v>159</v>
      </c>
      <c r="E20" s="20" t="s">
        <v>440</v>
      </c>
      <c r="F20" s="19">
        <v>2</v>
      </c>
      <c r="G20" s="19">
        <v>1</v>
      </c>
      <c r="H20" s="19">
        <v>1</v>
      </c>
      <c r="I20" s="19">
        <v>1</v>
      </c>
      <c r="J20" s="19">
        <v>2</v>
      </c>
      <c r="K20" s="19">
        <v>2</v>
      </c>
      <c r="L20" s="19">
        <f>IF(COUNT(F20:K20)=0,"",ROUND(((F20*Методика!$B$4+G20*Методика!$B$5+H20*Методика!$B$6+I20*Методика!$B$7+J20*Методика!$B$8+K20*Методика!$B$9)/3)*100,1))</f>
        <v>50</v>
      </c>
      <c r="M20" s="19" t="str">
        <f>IF(L20="","",INDEX(Методика!$C$15:$C$19,MATCH(L20,Методика!$A$15:$A$19,1)))</f>
        <v>Среднее</v>
      </c>
      <c r="N20" s="19" t="s">
        <v>44</v>
      </c>
      <c r="O20" s="19" t="str">
        <f t="shared" si="0"/>
        <v>Среднее</v>
      </c>
      <c r="P20" s="20" t="s">
        <v>160</v>
      </c>
    </row>
    <row r="21" spans="1:16" ht="105" customHeight="1" x14ac:dyDescent="0.2">
      <c r="A21" s="19">
        <v>31</v>
      </c>
      <c r="B21" s="20" t="s">
        <v>161</v>
      </c>
      <c r="C21" s="20" t="s">
        <v>162</v>
      </c>
      <c r="D21" s="20" t="s">
        <v>163</v>
      </c>
      <c r="E21" s="20" t="s">
        <v>441</v>
      </c>
      <c r="F21" s="19">
        <v>1</v>
      </c>
      <c r="G21" s="19">
        <v>1</v>
      </c>
      <c r="H21" s="19">
        <v>0</v>
      </c>
      <c r="I21" s="19">
        <v>0</v>
      </c>
      <c r="J21" s="19">
        <v>0</v>
      </c>
      <c r="K21" s="19">
        <v>1</v>
      </c>
      <c r="L21" s="19">
        <f>IF(COUNT(F21:K21)=0,"",ROUND(((F21*Методика!$B$4+G21*Методика!$B$5+H21*Методика!$B$6+I21*Методика!$B$7+J21*Методика!$B$8+K21*Методика!$B$9)/3)*100,1))</f>
        <v>16.7</v>
      </c>
      <c r="M21" s="19" t="str">
        <f>IF(L21="","",INDEX(Методика!$C$15:$C$19,MATCH(L21,Методика!$A$15:$A$19,1)))</f>
        <v>Незначительное</v>
      </c>
      <c r="N21" s="19" t="s">
        <v>44</v>
      </c>
      <c r="O21" s="19" t="str">
        <f t="shared" si="0"/>
        <v>Незначительное</v>
      </c>
      <c r="P21" s="20" t="s">
        <v>164</v>
      </c>
    </row>
    <row r="22" spans="1:16" ht="105" customHeight="1" x14ac:dyDescent="0.2">
      <c r="A22" s="19">
        <v>35</v>
      </c>
      <c r="B22" s="20" t="s">
        <v>166</v>
      </c>
      <c r="C22" s="20" t="s">
        <v>167</v>
      </c>
      <c r="D22" s="20" t="s">
        <v>168</v>
      </c>
      <c r="E22" s="20" t="s">
        <v>169</v>
      </c>
      <c r="F22" s="19">
        <v>1</v>
      </c>
      <c r="G22" s="19">
        <v>2</v>
      </c>
      <c r="H22" s="19">
        <v>1</v>
      </c>
      <c r="I22" s="19">
        <v>1</v>
      </c>
      <c r="J22" s="19">
        <v>2</v>
      </c>
      <c r="K22" s="19">
        <v>2</v>
      </c>
      <c r="L22" s="19">
        <f>IF(COUNT(F22:K22)=0,"",ROUND(((F22*Методика!$B$4+G22*Методика!$B$5+H22*Методика!$B$6+I22*Методика!$B$7+J22*Методика!$B$8+K22*Методика!$B$9)/3)*100,1))</f>
        <v>46.7</v>
      </c>
      <c r="M22" s="19" t="str">
        <f>IF(L22="","",INDEX(Методика!$C$15:$C$19,MATCH(L22,Методика!$A$15:$A$19,1)))</f>
        <v>Низкое</v>
      </c>
      <c r="N22" s="19" t="s">
        <v>44</v>
      </c>
      <c r="O22" s="19" t="str">
        <f t="shared" si="0"/>
        <v>Низкое</v>
      </c>
      <c r="P22" s="20" t="s">
        <v>170</v>
      </c>
    </row>
    <row r="23" spans="1:16" ht="105" customHeight="1" x14ac:dyDescent="0.2">
      <c r="A23" s="24">
        <v>38</v>
      </c>
      <c r="B23" s="25" t="s">
        <v>171</v>
      </c>
      <c r="C23" s="21" t="s">
        <v>172</v>
      </c>
      <c r="D23" s="21" t="s">
        <v>173</v>
      </c>
      <c r="E23" s="25" t="s">
        <v>438</v>
      </c>
      <c r="F23" s="22">
        <v>2</v>
      </c>
      <c r="G23" s="22">
        <v>1</v>
      </c>
      <c r="H23" s="22">
        <v>1</v>
      </c>
      <c r="I23" s="22">
        <v>1</v>
      </c>
      <c r="J23" s="22">
        <v>2</v>
      </c>
      <c r="K23" s="22">
        <v>2</v>
      </c>
      <c r="L23" s="24">
        <f>IF(COUNT(F23:K23)=0,"",ROUND(((F23*Методика!$B$4+G23*Методика!$B$5+H23*Методика!$B$6+I23*Методика!$B$7+J23*Методика!$B$8+K23*Методика!$B$9)/3)*100,1))</f>
        <v>50</v>
      </c>
      <c r="M23" s="24" t="str">
        <f>IF(L23="","",INDEX(Методика!$C$15:$C$19,MATCH(L23,Методика!$A$15:$A$19,1)))</f>
        <v>Среднее</v>
      </c>
      <c r="N23" s="22" t="s">
        <v>44</v>
      </c>
      <c r="O23" s="24" t="str">
        <f t="shared" si="0"/>
        <v>Среднее</v>
      </c>
      <c r="P23" s="25" t="s">
        <v>175</v>
      </c>
    </row>
    <row r="24" spans="1:16" ht="105" customHeight="1" x14ac:dyDescent="0.2">
      <c r="A24" s="24">
        <v>39</v>
      </c>
      <c r="B24" s="25" t="s">
        <v>176</v>
      </c>
      <c r="C24" s="21" t="s">
        <v>177</v>
      </c>
      <c r="D24" s="21" t="s">
        <v>178</v>
      </c>
      <c r="E24" s="25" t="s">
        <v>439</v>
      </c>
      <c r="F24" s="22">
        <v>2</v>
      </c>
      <c r="G24" s="22">
        <v>1</v>
      </c>
      <c r="H24" s="22">
        <v>1</v>
      </c>
      <c r="I24" s="22">
        <v>1</v>
      </c>
      <c r="J24" s="22">
        <v>2</v>
      </c>
      <c r="K24" s="22">
        <v>1</v>
      </c>
      <c r="L24" s="24">
        <f>IF(COUNT(F24:K24)=0,"",ROUND(((F24*Методика!$B$4+G24*Методика!$B$5+H24*Методика!$B$6+I24*Методика!$B$7+J24*Методика!$B$8+K24*Методика!$B$9)/3)*100,1))</f>
        <v>46.7</v>
      </c>
      <c r="M24" s="24" t="str">
        <f>IF(L24="","",INDEX(Методика!$C$15:$C$19,MATCH(L24,Методика!$A$15:$A$19,1)))</f>
        <v>Низкое</v>
      </c>
      <c r="N24" s="22" t="s">
        <v>44</v>
      </c>
      <c r="O24" s="24" t="str">
        <f t="shared" si="0"/>
        <v>Низкое</v>
      </c>
      <c r="P24" s="25" t="s">
        <v>179</v>
      </c>
    </row>
    <row r="25" spans="1:16" ht="105" customHeight="1" x14ac:dyDescent="0.2">
      <c r="A25" s="26">
        <v>45</v>
      </c>
      <c r="B25" s="23" t="s">
        <v>180</v>
      </c>
      <c r="C25" s="23" t="s">
        <v>181</v>
      </c>
      <c r="D25" s="23" t="s">
        <v>182</v>
      </c>
      <c r="E25" s="23" t="s">
        <v>436</v>
      </c>
      <c r="F25" s="26">
        <v>1</v>
      </c>
      <c r="G25" s="26">
        <v>2</v>
      </c>
      <c r="H25" s="26">
        <v>2</v>
      </c>
      <c r="I25" s="26">
        <v>1</v>
      </c>
      <c r="J25" s="26">
        <v>1</v>
      </c>
      <c r="K25" s="26">
        <v>1</v>
      </c>
      <c r="L25" s="26">
        <f>IF(COUNT(F25:K25)=0,"",ROUND(((F25*Методика!$B$4+G25*Методика!$B$5+H25*Методика!$B$6+I25*Методика!$B$7+J25*Методика!$B$8+K25*Методика!$B$9)/3)*100,1))</f>
        <v>45</v>
      </c>
      <c r="M25" s="26" t="str">
        <f>IF(L25="","",INDEX(Методика!$C$15:$C$19,MATCH(L25,Методика!$A$15:$A$19,1)))</f>
        <v>Низкое</v>
      </c>
      <c r="N25" s="26" t="s">
        <v>44</v>
      </c>
      <c r="O25" s="26" t="str">
        <f t="shared" si="0"/>
        <v>Низкое</v>
      </c>
      <c r="P25" s="23" t="s">
        <v>183</v>
      </c>
    </row>
    <row r="26" spans="1:16" ht="105" customHeight="1" x14ac:dyDescent="0.2">
      <c r="A26" s="26">
        <v>46</v>
      </c>
      <c r="B26" s="23" t="s">
        <v>184</v>
      </c>
      <c r="C26" s="23" t="s">
        <v>185</v>
      </c>
      <c r="D26" s="23" t="s">
        <v>186</v>
      </c>
      <c r="E26" s="23" t="s">
        <v>437</v>
      </c>
      <c r="F26" s="26">
        <v>2</v>
      </c>
      <c r="G26" s="26">
        <v>2</v>
      </c>
      <c r="H26" s="26">
        <v>1</v>
      </c>
      <c r="I26" s="26">
        <v>1</v>
      </c>
      <c r="J26" s="26">
        <v>1</v>
      </c>
      <c r="K26" s="26">
        <v>1</v>
      </c>
      <c r="L26" s="26">
        <f>IF(COUNT(F26:K26)=0,"",ROUND(((F26*Методика!$B$4+G26*Методика!$B$5+H26*Методика!$B$6+I26*Методика!$B$7+J26*Методика!$B$8+K26*Методика!$B$9)/3)*100,1))</f>
        <v>46.7</v>
      </c>
      <c r="M26" s="26" t="str">
        <f>IF(L26="","",INDEX(Методика!$C$15:$C$19,MATCH(L26,Методика!$A$15:$A$19,1)))</f>
        <v>Низкое</v>
      </c>
      <c r="N26" s="26" t="s">
        <v>44</v>
      </c>
      <c r="O26" s="26" t="str">
        <f t="shared" si="0"/>
        <v>Низкое</v>
      </c>
      <c r="P26" s="23" t="s">
        <v>187</v>
      </c>
    </row>
  </sheetData>
  <autoFilter ref="A3:P26" xr:uid="{00000000-0009-0000-0000-000002000000}"/>
  <mergeCells count="2">
    <mergeCell ref="A1:P1"/>
    <mergeCell ref="A2:P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
  <sheetViews>
    <sheetView showGridLines="0" zoomScaleNormal="100" workbookViewId="0">
      <pane xSplit="2" ySplit="3" topLeftCell="C4" activePane="bottomRight" state="frozen"/>
      <selection pane="topRight" activeCell="C1" sqref="C1"/>
      <selection pane="bottomLeft" activeCell="A4" sqref="A4"/>
      <selection pane="bottomRight" activeCell="M3" sqref="M1:O1048576"/>
    </sheetView>
  </sheetViews>
  <sheetFormatPr baseColWidth="10" defaultColWidth="8.6640625" defaultRowHeight="15" x14ac:dyDescent="0.2"/>
  <cols>
    <col min="1" max="1" width="4" customWidth="1"/>
    <col min="2" max="2" width="34" customWidth="1"/>
    <col min="3" max="3" width="16" customWidth="1"/>
    <col min="4" max="4" width="18" customWidth="1"/>
    <col min="5" max="5" width="32" customWidth="1"/>
    <col min="6" max="6" width="9" customWidth="1"/>
    <col min="7" max="7" width="10" customWidth="1"/>
    <col min="8" max="9" width="9" customWidth="1"/>
    <col min="10" max="10" width="10" customWidth="1"/>
    <col min="11" max="11" width="13" customWidth="1"/>
    <col min="12" max="12" width="52" customWidth="1"/>
  </cols>
  <sheetData>
    <row r="1" spans="1:12" ht="30" customHeight="1" x14ac:dyDescent="0.2">
      <c r="A1" s="2" t="s">
        <v>188</v>
      </c>
      <c r="B1" s="2"/>
      <c r="C1" s="2"/>
      <c r="D1" s="2"/>
      <c r="E1" s="2"/>
      <c r="F1" s="2"/>
      <c r="G1" s="2"/>
      <c r="H1" s="2"/>
      <c r="I1" s="2"/>
      <c r="J1" s="2"/>
      <c r="K1" s="2"/>
      <c r="L1" s="2"/>
    </row>
    <row r="2" spans="1:12" ht="25.5" customHeight="1" x14ac:dyDescent="0.2">
      <c r="A2" s="1" t="s">
        <v>189</v>
      </c>
      <c r="B2" s="1"/>
      <c r="C2" s="1"/>
      <c r="D2" s="1"/>
      <c r="E2" s="1"/>
      <c r="F2" s="1"/>
      <c r="G2" s="1"/>
      <c r="H2" s="1"/>
      <c r="I2" s="1"/>
      <c r="J2" s="1"/>
      <c r="K2" s="1"/>
      <c r="L2" s="1"/>
    </row>
    <row r="3" spans="1:12" ht="42" customHeight="1" x14ac:dyDescent="0.2">
      <c r="A3" s="18" t="s">
        <v>24</v>
      </c>
      <c r="B3" s="18" t="s">
        <v>190</v>
      </c>
      <c r="C3" s="18" t="s">
        <v>191</v>
      </c>
      <c r="D3" s="18" t="s">
        <v>192</v>
      </c>
      <c r="E3" s="18" t="s">
        <v>28</v>
      </c>
      <c r="F3" s="18" t="s">
        <v>193</v>
      </c>
      <c r="G3" s="18" t="s">
        <v>194</v>
      </c>
      <c r="H3" s="18" t="s">
        <v>195</v>
      </c>
      <c r="I3" s="18" t="s">
        <v>196</v>
      </c>
      <c r="J3" s="18" t="s">
        <v>197</v>
      </c>
      <c r="K3" s="18" t="s">
        <v>198</v>
      </c>
      <c r="L3" s="18" t="s">
        <v>199</v>
      </c>
    </row>
    <row r="4" spans="1:12" ht="99.75" customHeight="1" x14ac:dyDescent="0.2">
      <c r="A4" s="19">
        <v>3</v>
      </c>
      <c r="B4" s="20" t="s">
        <v>200</v>
      </c>
      <c r="C4" s="20" t="s">
        <v>201</v>
      </c>
      <c r="D4" s="20" t="s">
        <v>202</v>
      </c>
      <c r="E4" s="20" t="s">
        <v>203</v>
      </c>
      <c r="F4" s="19">
        <v>3</v>
      </c>
      <c r="G4" s="19">
        <v>2</v>
      </c>
      <c r="H4" s="19">
        <v>3</v>
      </c>
      <c r="I4" s="19">
        <v>2</v>
      </c>
      <c r="J4" s="19">
        <f>IF(COUNT(F4:I4)=0,"",ROUND(((F4*Методика!$B$33+G4*Методика!$B$34+H4*Методика!$B$35+I4*Методика!$B$36)/3)*100,1))</f>
        <v>83.3</v>
      </c>
      <c r="K4" s="19" t="str">
        <f>IF(J4="","",INDEX(Методика!$C$42:$C$45,MATCH(J4,Методика!$A$42:$A$45,1)))</f>
        <v>Горячая тема</v>
      </c>
      <c r="L4" s="20" t="s">
        <v>204</v>
      </c>
    </row>
    <row r="5" spans="1:12" ht="99.75" customHeight="1" x14ac:dyDescent="0.2">
      <c r="A5" s="19">
        <v>7</v>
      </c>
      <c r="B5" s="20" t="s">
        <v>205</v>
      </c>
      <c r="C5" s="20" t="s">
        <v>206</v>
      </c>
      <c r="D5" s="20" t="s">
        <v>207</v>
      </c>
      <c r="E5" s="20" t="s">
        <v>208</v>
      </c>
      <c r="F5" s="19">
        <v>2</v>
      </c>
      <c r="G5" s="19">
        <v>2</v>
      </c>
      <c r="H5" s="19">
        <v>2</v>
      </c>
      <c r="I5" s="19">
        <v>2</v>
      </c>
      <c r="J5" s="19">
        <f>IF(COUNT(F5:I5)=0,"",ROUND(((F5*Методика!$B$33+G5*Методика!$B$34+H5*Методика!$B$35+I5*Методика!$B$36)/3)*100,1))</f>
        <v>66.7</v>
      </c>
      <c r="K5" s="19" t="str">
        <f>IF(J5="","",INDEX(Методика!$C$42:$C$45,MATCH(J5,Методика!$A$42:$A$45,1)))</f>
        <v>Актуально</v>
      </c>
      <c r="L5" s="20" t="s">
        <v>209</v>
      </c>
    </row>
    <row r="6" spans="1:12" ht="99.75" customHeight="1" x14ac:dyDescent="0.2">
      <c r="A6" s="19">
        <v>11</v>
      </c>
      <c r="B6" s="20" t="s">
        <v>210</v>
      </c>
      <c r="C6" s="20" t="s">
        <v>211</v>
      </c>
      <c r="D6" s="20" t="s">
        <v>212</v>
      </c>
      <c r="E6" s="20" t="s">
        <v>213</v>
      </c>
      <c r="F6" s="19">
        <v>2</v>
      </c>
      <c r="G6" s="19">
        <v>3</v>
      </c>
      <c r="H6" s="19">
        <v>2</v>
      </c>
      <c r="I6" s="19">
        <v>1</v>
      </c>
      <c r="J6" s="19">
        <f>IF(COUNT(F6:I6)=0,"",ROUND(((F6*Методика!$B$33+G6*Методика!$B$34+H6*Методика!$B$35+I6*Методика!$B$36)/3)*100,1))</f>
        <v>70</v>
      </c>
      <c r="K6" s="19" t="str">
        <f>IF(J6="","",INDEX(Методика!$C$42:$C$45,MATCH(J6,Методика!$A$42:$A$45,1)))</f>
        <v>Актуально</v>
      </c>
      <c r="L6" s="20" t="s">
        <v>214</v>
      </c>
    </row>
    <row r="7" spans="1:12" ht="99.75" customHeight="1" x14ac:dyDescent="0.2">
      <c r="A7" s="19">
        <v>28</v>
      </c>
      <c r="B7" s="20" t="s">
        <v>215</v>
      </c>
      <c r="C7" s="20" t="s">
        <v>201</v>
      </c>
      <c r="D7" s="20" t="s">
        <v>216</v>
      </c>
      <c r="E7" s="20" t="s">
        <v>217</v>
      </c>
      <c r="F7" s="19">
        <v>3</v>
      </c>
      <c r="G7" s="19">
        <v>3</v>
      </c>
      <c r="H7" s="19">
        <v>2</v>
      </c>
      <c r="I7" s="19">
        <v>2</v>
      </c>
      <c r="J7" s="19">
        <f>IF(COUNT(F7:I7)=0,"",ROUND(((F7*Методика!$B$33+G7*Методика!$B$34+H7*Методика!$B$35+I7*Методика!$B$36)/3)*100,1))</f>
        <v>86.7</v>
      </c>
      <c r="K7" s="19" t="str">
        <f>IF(J7="","",INDEX(Методика!$C$42:$C$45,MATCH(J7,Методика!$A$42:$A$45,1)))</f>
        <v>Горячая тема</v>
      </c>
      <c r="L7" s="20" t="s">
        <v>218</v>
      </c>
    </row>
    <row r="8" spans="1:12" ht="99.75" customHeight="1" x14ac:dyDescent="0.2">
      <c r="A8" s="19">
        <v>29</v>
      </c>
      <c r="B8" s="20" t="s">
        <v>219</v>
      </c>
      <c r="C8" s="20" t="s">
        <v>220</v>
      </c>
      <c r="D8" s="20" t="s">
        <v>221</v>
      </c>
      <c r="E8" s="20" t="s">
        <v>222</v>
      </c>
      <c r="F8" s="19">
        <v>2</v>
      </c>
      <c r="G8" s="19">
        <v>1</v>
      </c>
      <c r="H8" s="19">
        <v>2</v>
      </c>
      <c r="I8" s="19">
        <v>1</v>
      </c>
      <c r="J8" s="19">
        <f>IF(COUNT(F8:I8)=0,"",ROUND(((F8*Методика!$B$33+G8*Методика!$B$34+H8*Методика!$B$35+I8*Методика!$B$36)/3)*100,1))</f>
        <v>50</v>
      </c>
      <c r="K8" s="19" t="str">
        <f>IF(J8="","",INDEX(Методика!$C$42:$C$45,MATCH(J8,Методика!$A$42:$A$45,1)))</f>
        <v>Актуально</v>
      </c>
      <c r="L8" s="20" t="s">
        <v>223</v>
      </c>
    </row>
    <row r="9" spans="1:12" ht="105" customHeight="1" x14ac:dyDescent="0.2">
      <c r="A9" s="19">
        <v>33</v>
      </c>
      <c r="B9" s="20" t="s">
        <v>224</v>
      </c>
      <c r="C9" s="20" t="s">
        <v>225</v>
      </c>
      <c r="D9" s="20" t="s">
        <v>226</v>
      </c>
      <c r="E9" s="20" t="s">
        <v>165</v>
      </c>
      <c r="F9" s="19">
        <v>3</v>
      </c>
      <c r="G9" s="19">
        <v>2</v>
      </c>
      <c r="H9" s="19">
        <v>2</v>
      </c>
      <c r="I9" s="19">
        <v>2</v>
      </c>
      <c r="J9" s="19">
        <f>IF(COUNT(F9:I9)=0,"",ROUND(((F9*Методика!$B$33+G9*Методика!$B$34+H9*Методика!$B$35+I9*Методика!$B$36)/3)*100,1))</f>
        <v>76.7</v>
      </c>
      <c r="K9" s="19" t="str">
        <f>IF(J9="","",INDEX(Методика!$C$42:$C$45,MATCH(J9,Методика!$A$42:$A$45,1)))</f>
        <v>Горячая тема</v>
      </c>
      <c r="L9" s="20" t="s">
        <v>227</v>
      </c>
    </row>
    <row r="10" spans="1:12" ht="105" customHeight="1" x14ac:dyDescent="0.2">
      <c r="A10" s="19">
        <v>34</v>
      </c>
      <c r="B10" s="20" t="s">
        <v>228</v>
      </c>
      <c r="C10" s="20" t="s">
        <v>211</v>
      </c>
      <c r="D10" s="20" t="s">
        <v>229</v>
      </c>
      <c r="E10" s="20" t="s">
        <v>165</v>
      </c>
      <c r="F10" s="19">
        <v>2</v>
      </c>
      <c r="G10" s="19">
        <v>3</v>
      </c>
      <c r="H10" s="19">
        <v>2</v>
      </c>
      <c r="I10" s="19">
        <v>2</v>
      </c>
      <c r="J10" s="19">
        <f>IF(COUNT(F10:I10)=0,"",ROUND(((F10*Методика!$B$33+G10*Методика!$B$34+H10*Методика!$B$35+I10*Методика!$B$36)/3)*100,1))</f>
        <v>76.7</v>
      </c>
      <c r="K10" s="19" t="str">
        <f>IF(J10="","",INDEX(Методика!$C$42:$C$45,MATCH(J10,Методика!$A$42:$A$45,1)))</f>
        <v>Горячая тема</v>
      </c>
      <c r="L10" s="20" t="s">
        <v>230</v>
      </c>
    </row>
    <row r="11" spans="1:12" ht="105" customHeight="1" x14ac:dyDescent="0.2">
      <c r="A11" s="19">
        <v>36</v>
      </c>
      <c r="B11" s="20" t="s">
        <v>231</v>
      </c>
      <c r="C11" s="20" t="s">
        <v>232</v>
      </c>
      <c r="D11" s="20" t="s">
        <v>233</v>
      </c>
      <c r="E11" s="20" t="s">
        <v>234</v>
      </c>
      <c r="F11" s="19">
        <v>3</v>
      </c>
      <c r="G11" s="19">
        <v>3</v>
      </c>
      <c r="H11" s="19">
        <v>2</v>
      </c>
      <c r="I11" s="19">
        <v>1</v>
      </c>
      <c r="J11" s="19">
        <f>IF(COUNT(F11:I11)=0,"",ROUND(((F11*Методика!$B$33+G11*Методика!$B$34+H11*Методика!$B$35+I11*Методика!$B$36)/3)*100,1))</f>
        <v>80</v>
      </c>
      <c r="K11" s="19" t="str">
        <f>IF(J11="","",INDEX(Методика!$C$42:$C$45,MATCH(J11,Методика!$A$42:$A$45,1)))</f>
        <v>Горячая тема</v>
      </c>
      <c r="L11" s="20" t="s">
        <v>235</v>
      </c>
    </row>
    <row r="12" spans="1:12" ht="105" customHeight="1" x14ac:dyDescent="0.2">
      <c r="A12" s="24">
        <v>41</v>
      </c>
      <c r="B12" s="25" t="s">
        <v>236</v>
      </c>
      <c r="C12" s="21" t="s">
        <v>237</v>
      </c>
      <c r="D12" s="21" t="s">
        <v>238</v>
      </c>
      <c r="E12" s="25" t="s">
        <v>239</v>
      </c>
      <c r="F12" s="22">
        <v>3</v>
      </c>
      <c r="G12" s="22">
        <v>3</v>
      </c>
      <c r="H12" s="22">
        <v>2</v>
      </c>
      <c r="I12" s="22">
        <v>3</v>
      </c>
      <c r="J12" s="24">
        <f>IF(COUNT(F12:I12)=0,"",ROUND(((F12*Методика!$B$33+G12*Методика!$B$34+H12*Методика!$B$35+I12*Методика!$B$36)/3)*100,1))</f>
        <v>93.3</v>
      </c>
      <c r="K12" s="24" t="str">
        <f>IF(J12="","",INDEX(Методика!$C$42:$C$45,MATCH(J12,Методика!$A$42:$A$45,1)))</f>
        <v>Горячая тема</v>
      </c>
      <c r="L12" s="25" t="s">
        <v>240</v>
      </c>
    </row>
    <row r="13" spans="1:12" ht="105" customHeight="1" x14ac:dyDescent="0.2">
      <c r="A13" s="24">
        <v>42</v>
      </c>
      <c r="B13" s="25" t="s">
        <v>241</v>
      </c>
      <c r="C13" s="21" t="s">
        <v>242</v>
      </c>
      <c r="D13" s="21" t="s">
        <v>243</v>
      </c>
      <c r="E13" s="25" t="s">
        <v>239</v>
      </c>
      <c r="F13" s="22">
        <v>3</v>
      </c>
      <c r="G13" s="22">
        <v>2</v>
      </c>
      <c r="H13" s="22">
        <v>2</v>
      </c>
      <c r="I13" s="22">
        <v>2</v>
      </c>
      <c r="J13" s="24">
        <f>IF(COUNT(F13:I13)=0,"",ROUND(((F13*Методика!$B$33+G13*Методика!$B$34+H13*Методика!$B$35+I13*Методика!$B$36)/3)*100,1))</f>
        <v>76.7</v>
      </c>
      <c r="K13" s="24" t="str">
        <f>IF(J13="","",INDEX(Методика!$C$42:$C$45,MATCH(J13,Методика!$A$42:$A$45,1)))</f>
        <v>Горячая тема</v>
      </c>
      <c r="L13" s="25" t="s">
        <v>244</v>
      </c>
    </row>
    <row r="14" spans="1:12" ht="105" customHeight="1" x14ac:dyDescent="0.2">
      <c r="A14" s="24">
        <v>43</v>
      </c>
      <c r="B14" s="25" t="s">
        <v>245</v>
      </c>
      <c r="C14" s="21" t="s">
        <v>246</v>
      </c>
      <c r="D14" s="21" t="s">
        <v>247</v>
      </c>
      <c r="E14" s="25" t="s">
        <v>248</v>
      </c>
      <c r="F14" s="22">
        <v>3</v>
      </c>
      <c r="G14" s="22">
        <v>2</v>
      </c>
      <c r="H14" s="22">
        <v>2</v>
      </c>
      <c r="I14" s="22">
        <v>3</v>
      </c>
      <c r="J14" s="24">
        <f>IF(COUNT(F14:I14)=0,"",ROUND(((F14*Методика!$B$33+G14*Методика!$B$34+H14*Методика!$B$35+I14*Методика!$B$36)/3)*100,1))</f>
        <v>83.3</v>
      </c>
      <c r="K14" s="24" t="str">
        <f>IF(J14="","",INDEX(Методика!$C$42:$C$45,MATCH(J14,Методика!$A$42:$A$45,1)))</f>
        <v>Горячая тема</v>
      </c>
      <c r="L14" s="25" t="s">
        <v>249</v>
      </c>
    </row>
  </sheetData>
  <autoFilter ref="A3:L14" xr:uid="{00000000-0009-0000-0000-000003000000}"/>
  <mergeCells count="2">
    <mergeCell ref="A1:L1"/>
    <mergeCell ref="A2:L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5"/>
  <sheetViews>
    <sheetView showGridLines="0" zoomScaleNormal="100" workbookViewId="0">
      <selection sqref="A1:E1"/>
    </sheetView>
  </sheetViews>
  <sheetFormatPr baseColWidth="10" defaultColWidth="8.6640625" defaultRowHeight="15" x14ac:dyDescent="0.2"/>
  <cols>
    <col min="1" max="1" width="52" customWidth="1"/>
    <col min="2" max="2" width="10" customWidth="1"/>
    <col min="3" max="3" width="16" customWidth="1"/>
    <col min="4" max="4" width="110" customWidth="1"/>
    <col min="5" max="5" width="6" customWidth="1"/>
  </cols>
  <sheetData>
    <row r="1" spans="1:5" ht="30" customHeight="1" x14ac:dyDescent="0.2">
      <c r="A1" s="2" t="s">
        <v>250</v>
      </c>
      <c r="B1" s="2"/>
      <c r="C1" s="2"/>
      <c r="D1" s="2"/>
      <c r="E1" s="2"/>
    </row>
    <row r="3" spans="1:5" ht="15" customHeight="1" x14ac:dyDescent="0.2">
      <c r="A3" s="18" t="s">
        <v>251</v>
      </c>
      <c r="B3" s="18" t="s">
        <v>252</v>
      </c>
      <c r="D3" s="18" t="s">
        <v>253</v>
      </c>
    </row>
    <row r="4" spans="1:5" ht="30" customHeight="1" x14ac:dyDescent="0.2">
      <c r="A4" s="20" t="s">
        <v>254</v>
      </c>
      <c r="B4" s="27">
        <v>0.25</v>
      </c>
      <c r="D4" s="20" t="s">
        <v>255</v>
      </c>
    </row>
    <row r="5" spans="1:5" ht="30" customHeight="1" x14ac:dyDescent="0.2">
      <c r="A5" s="20" t="s">
        <v>256</v>
      </c>
      <c r="B5" s="27">
        <v>0.15</v>
      </c>
      <c r="D5" s="20" t="s">
        <v>257</v>
      </c>
    </row>
    <row r="6" spans="1:5" ht="30" customHeight="1" x14ac:dyDescent="0.2">
      <c r="A6" s="20" t="s">
        <v>258</v>
      </c>
      <c r="B6" s="27">
        <v>0.2</v>
      </c>
      <c r="D6" s="20" t="s">
        <v>259</v>
      </c>
    </row>
    <row r="7" spans="1:5" ht="30" customHeight="1" x14ac:dyDescent="0.2">
      <c r="A7" s="20" t="s">
        <v>260</v>
      </c>
      <c r="B7" s="27">
        <v>0.15</v>
      </c>
      <c r="D7" s="20" t="s">
        <v>261</v>
      </c>
    </row>
    <row r="8" spans="1:5" ht="30" customHeight="1" x14ac:dyDescent="0.2">
      <c r="A8" s="20" t="s">
        <v>262</v>
      </c>
      <c r="B8" s="27">
        <v>0.15</v>
      </c>
      <c r="D8" s="20" t="s">
        <v>263</v>
      </c>
    </row>
    <row r="9" spans="1:5" ht="30" customHeight="1" x14ac:dyDescent="0.2">
      <c r="A9" s="20" t="s">
        <v>264</v>
      </c>
      <c r="B9" s="27">
        <v>0.1</v>
      </c>
      <c r="D9" s="20" t="s">
        <v>265</v>
      </c>
    </row>
    <row r="10" spans="1:5" ht="15" customHeight="1" x14ac:dyDescent="0.2">
      <c r="A10" s="20" t="s">
        <v>266</v>
      </c>
      <c r="B10" s="27">
        <f>SUM(B4:B9)</f>
        <v>1.0000000000000002</v>
      </c>
    </row>
    <row r="11" spans="1:5" ht="15" customHeight="1" x14ac:dyDescent="0.2">
      <c r="A11" s="28" t="s">
        <v>267</v>
      </c>
    </row>
    <row r="12" spans="1:5" ht="15" customHeight="1" x14ac:dyDescent="0.2">
      <c r="A12" s="14" t="s">
        <v>268</v>
      </c>
    </row>
    <row r="13" spans="1:5" ht="15" customHeight="1" x14ac:dyDescent="0.2">
      <c r="A13" s="28" t="s">
        <v>269</v>
      </c>
    </row>
    <row r="14" spans="1:5" ht="15" customHeight="1" x14ac:dyDescent="0.2">
      <c r="A14" s="18" t="s">
        <v>270</v>
      </c>
      <c r="C14" s="18" t="s">
        <v>271</v>
      </c>
      <c r="D14" s="18" t="s">
        <v>272</v>
      </c>
    </row>
    <row r="15" spans="1:5" ht="25.5" customHeight="1" x14ac:dyDescent="0.2">
      <c r="A15" s="19">
        <v>0</v>
      </c>
      <c r="C15" s="29" t="s">
        <v>273</v>
      </c>
      <c r="D15" s="20" t="s">
        <v>274</v>
      </c>
    </row>
    <row r="16" spans="1:5" ht="25.5" customHeight="1" x14ac:dyDescent="0.2">
      <c r="A16" s="19">
        <v>25</v>
      </c>
      <c r="C16" s="29" t="s">
        <v>275</v>
      </c>
      <c r="D16" s="20" t="s">
        <v>276</v>
      </c>
    </row>
    <row r="17" spans="1:4" ht="25.5" customHeight="1" x14ac:dyDescent="0.2">
      <c r="A17" s="19">
        <v>50</v>
      </c>
      <c r="C17" s="29" t="s">
        <v>277</v>
      </c>
      <c r="D17" s="20" t="s">
        <v>278</v>
      </c>
    </row>
    <row r="18" spans="1:4" ht="25.5" customHeight="1" x14ac:dyDescent="0.2">
      <c r="A18" s="19">
        <v>75</v>
      </c>
      <c r="C18" s="29" t="s">
        <v>279</v>
      </c>
      <c r="D18" s="20" t="s">
        <v>280</v>
      </c>
    </row>
    <row r="19" spans="1:4" ht="25.5" customHeight="1" x14ac:dyDescent="0.2">
      <c r="A19" s="19">
        <v>90</v>
      </c>
      <c r="C19" s="29" t="s">
        <v>281</v>
      </c>
      <c r="D19" s="20" t="s">
        <v>282</v>
      </c>
    </row>
    <row r="21" spans="1:4" ht="15" customHeight="1" x14ac:dyDescent="0.2">
      <c r="A21" s="30" t="s">
        <v>283</v>
      </c>
    </row>
    <row r="23" spans="1:4" ht="15" customHeight="1" x14ac:dyDescent="0.2">
      <c r="A23" s="28" t="s">
        <v>284</v>
      </c>
    </row>
    <row r="24" spans="1:4" ht="15" customHeight="1" x14ac:dyDescent="0.2">
      <c r="A24" s="14" t="s">
        <v>285</v>
      </c>
    </row>
    <row r="25" spans="1:4" ht="15" customHeight="1" x14ac:dyDescent="0.2">
      <c r="A25" s="14" t="s">
        <v>286</v>
      </c>
    </row>
    <row r="26" spans="1:4" ht="15" customHeight="1" x14ac:dyDescent="0.2">
      <c r="A26" s="14" t="s">
        <v>287</v>
      </c>
    </row>
    <row r="27" spans="1:4" ht="15" customHeight="1" x14ac:dyDescent="0.2">
      <c r="A27" s="14" t="s">
        <v>288</v>
      </c>
    </row>
    <row r="28" spans="1:4" ht="15" customHeight="1" x14ac:dyDescent="0.2">
      <c r="A28" s="14" t="s">
        <v>289</v>
      </c>
    </row>
    <row r="31" spans="1:4" ht="15" customHeight="1" x14ac:dyDescent="0.2">
      <c r="A31" s="31" t="s">
        <v>290</v>
      </c>
    </row>
    <row r="32" spans="1:4" ht="15" customHeight="1" x14ac:dyDescent="0.2">
      <c r="A32" s="18" t="s">
        <v>291</v>
      </c>
      <c r="B32" s="18" t="s">
        <v>252</v>
      </c>
      <c r="D32" s="18" t="s">
        <v>253</v>
      </c>
    </row>
    <row r="33" spans="1:4" ht="30" customHeight="1" x14ac:dyDescent="0.2">
      <c r="A33" s="20" t="s">
        <v>292</v>
      </c>
      <c r="B33" s="27">
        <v>0.3</v>
      </c>
      <c r="D33" s="20" t="s">
        <v>293</v>
      </c>
    </row>
    <row r="34" spans="1:4" ht="30" customHeight="1" x14ac:dyDescent="0.2">
      <c r="A34" s="20" t="s">
        <v>294</v>
      </c>
      <c r="B34" s="27">
        <v>0.3</v>
      </c>
      <c r="D34" s="20" t="s">
        <v>295</v>
      </c>
    </row>
    <row r="35" spans="1:4" ht="30" customHeight="1" x14ac:dyDescent="0.2">
      <c r="A35" s="20" t="s">
        <v>296</v>
      </c>
      <c r="B35" s="27">
        <v>0.2</v>
      </c>
      <c r="D35" s="20" t="s">
        <v>297</v>
      </c>
    </row>
    <row r="36" spans="1:4" ht="30" customHeight="1" x14ac:dyDescent="0.2">
      <c r="A36" s="20" t="s">
        <v>298</v>
      </c>
      <c r="B36" s="27">
        <v>0.2</v>
      </c>
      <c r="D36" s="20" t="s">
        <v>299</v>
      </c>
    </row>
    <row r="37" spans="1:4" ht="15" customHeight="1" x14ac:dyDescent="0.2">
      <c r="A37" s="20" t="s">
        <v>266</v>
      </c>
      <c r="B37" s="27">
        <f>SUM(B33:B36)</f>
        <v>1</v>
      </c>
    </row>
    <row r="39" spans="1:4" ht="15" customHeight="1" x14ac:dyDescent="0.2">
      <c r="A39" s="14" t="s">
        <v>300</v>
      </c>
    </row>
    <row r="41" spans="1:4" ht="15" customHeight="1" x14ac:dyDescent="0.2">
      <c r="A41" s="18" t="s">
        <v>270</v>
      </c>
      <c r="C41" s="18" t="s">
        <v>271</v>
      </c>
      <c r="D41" s="18" t="s">
        <v>272</v>
      </c>
    </row>
    <row r="42" spans="1:4" ht="25.5" customHeight="1" x14ac:dyDescent="0.2">
      <c r="A42" s="19">
        <v>0</v>
      </c>
      <c r="C42" s="29" t="s">
        <v>301</v>
      </c>
      <c r="D42" s="20" t="s">
        <v>302</v>
      </c>
    </row>
    <row r="43" spans="1:4" ht="25.5" customHeight="1" x14ac:dyDescent="0.2">
      <c r="A43" s="19">
        <v>25</v>
      </c>
      <c r="C43" s="29" t="s">
        <v>303</v>
      </c>
      <c r="D43" s="20" t="s">
        <v>304</v>
      </c>
    </row>
    <row r="44" spans="1:4" ht="25.5" customHeight="1" x14ac:dyDescent="0.2">
      <c r="A44" s="19">
        <v>50</v>
      </c>
      <c r="C44" s="29" t="s">
        <v>305</v>
      </c>
      <c r="D44" s="20" t="s">
        <v>306</v>
      </c>
    </row>
    <row r="45" spans="1:4" ht="25.5" customHeight="1" x14ac:dyDescent="0.2">
      <c r="A45" s="19">
        <v>75</v>
      </c>
      <c r="C45" s="29" t="s">
        <v>307</v>
      </c>
      <c r="D45" s="20" t="s">
        <v>308</v>
      </c>
    </row>
  </sheetData>
  <mergeCells count="1">
    <mergeCell ref="A1:E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9"/>
  <sheetViews>
    <sheetView showGridLines="0" zoomScaleNormal="100" workbookViewId="0">
      <selection sqref="A1:C1"/>
    </sheetView>
  </sheetViews>
  <sheetFormatPr baseColWidth="10" defaultColWidth="8.6640625" defaultRowHeight="15" x14ac:dyDescent="0.2"/>
  <cols>
    <col min="1" max="1" width="72" customWidth="1"/>
    <col min="2" max="2" width="30" customWidth="1"/>
    <col min="3" max="3" width="56" customWidth="1"/>
  </cols>
  <sheetData>
    <row r="1" spans="1:3" ht="30" customHeight="1" x14ac:dyDescent="0.2">
      <c r="A1" s="2" t="s">
        <v>309</v>
      </c>
      <c r="B1" s="2"/>
      <c r="C1" s="2"/>
    </row>
    <row r="2" spans="1:3" ht="25.5" customHeight="1" x14ac:dyDescent="0.2">
      <c r="A2" s="1" t="s">
        <v>310</v>
      </c>
      <c r="B2" s="1"/>
      <c r="C2" s="1"/>
    </row>
    <row r="3" spans="1:3" ht="42" customHeight="1" x14ac:dyDescent="0.2">
      <c r="A3" s="18" t="s">
        <v>311</v>
      </c>
      <c r="B3" s="18" t="s">
        <v>312</v>
      </c>
      <c r="C3" s="18" t="s">
        <v>313</v>
      </c>
    </row>
    <row r="4" spans="1:3" ht="24" customHeight="1" x14ac:dyDescent="0.2">
      <c r="A4" s="25" t="s">
        <v>67</v>
      </c>
      <c r="B4" s="25" t="s">
        <v>314</v>
      </c>
      <c r="C4" s="25" t="s">
        <v>315</v>
      </c>
    </row>
    <row r="5" spans="1:3" ht="24" customHeight="1" x14ac:dyDescent="0.2">
      <c r="A5" s="20" t="s">
        <v>155</v>
      </c>
      <c r="B5" s="20" t="s">
        <v>316</v>
      </c>
      <c r="C5" s="20" t="s">
        <v>317</v>
      </c>
    </row>
    <row r="6" spans="1:3" ht="24" customHeight="1" x14ac:dyDescent="0.2">
      <c r="A6" s="25" t="s">
        <v>318</v>
      </c>
      <c r="B6" s="25" t="s">
        <v>319</v>
      </c>
      <c r="C6" s="25" t="s">
        <v>320</v>
      </c>
    </row>
    <row r="7" spans="1:3" ht="24" customHeight="1" x14ac:dyDescent="0.2">
      <c r="A7" s="20" t="s">
        <v>71</v>
      </c>
      <c r="B7" s="20" t="s">
        <v>321</v>
      </c>
      <c r="C7" s="20" t="s">
        <v>322</v>
      </c>
    </row>
    <row r="8" spans="1:3" ht="24" customHeight="1" x14ac:dyDescent="0.2">
      <c r="A8" s="25" t="s">
        <v>323</v>
      </c>
      <c r="B8" s="25" t="s">
        <v>324</v>
      </c>
      <c r="C8" s="25" t="s">
        <v>325</v>
      </c>
    </row>
    <row r="9" spans="1:3" ht="24" customHeight="1" x14ac:dyDescent="0.2">
      <c r="A9" s="20" t="s">
        <v>73</v>
      </c>
      <c r="B9" s="20" t="s">
        <v>326</v>
      </c>
      <c r="C9" s="20" t="s">
        <v>327</v>
      </c>
    </row>
    <row r="10" spans="1:3" ht="24" customHeight="1" x14ac:dyDescent="0.2">
      <c r="A10" s="25" t="s">
        <v>328</v>
      </c>
      <c r="B10" s="25" t="s">
        <v>329</v>
      </c>
      <c r="C10" s="25" t="s">
        <v>330</v>
      </c>
    </row>
    <row r="11" spans="1:3" ht="24" customHeight="1" x14ac:dyDescent="0.2">
      <c r="A11" s="20" t="s">
        <v>331</v>
      </c>
      <c r="B11" s="20" t="s">
        <v>332</v>
      </c>
      <c r="C11" s="20" t="s">
        <v>333</v>
      </c>
    </row>
    <row r="12" spans="1:3" ht="24" customHeight="1" x14ac:dyDescent="0.2">
      <c r="A12" s="25" t="s">
        <v>147</v>
      </c>
      <c r="B12" s="25" t="s">
        <v>334</v>
      </c>
      <c r="C12" s="25" t="s">
        <v>335</v>
      </c>
    </row>
    <row r="13" spans="1:3" ht="24" customHeight="1" x14ac:dyDescent="0.2">
      <c r="A13" s="20" t="s">
        <v>151</v>
      </c>
      <c r="B13" s="20" t="s">
        <v>336</v>
      </c>
      <c r="C13" s="20" t="s">
        <v>337</v>
      </c>
    </row>
    <row r="14" spans="1:3" ht="24" customHeight="1" x14ac:dyDescent="0.2">
      <c r="A14" s="25" t="s">
        <v>338</v>
      </c>
      <c r="B14" s="25" t="s">
        <v>339</v>
      </c>
      <c r="C14" s="25" t="s">
        <v>340</v>
      </c>
    </row>
    <row r="15" spans="1:3" ht="24" customHeight="1" x14ac:dyDescent="0.2">
      <c r="A15" s="20" t="s">
        <v>217</v>
      </c>
      <c r="B15" s="20" t="s">
        <v>341</v>
      </c>
      <c r="C15" s="20" t="s">
        <v>342</v>
      </c>
    </row>
    <row r="16" spans="1:3" ht="24" customHeight="1" x14ac:dyDescent="0.2">
      <c r="A16" s="25" t="s">
        <v>343</v>
      </c>
      <c r="B16" s="25" t="s">
        <v>344</v>
      </c>
      <c r="C16" s="25" t="s">
        <v>345</v>
      </c>
    </row>
    <row r="17" spans="1:3" ht="24" customHeight="1" x14ac:dyDescent="0.2">
      <c r="A17" s="20" t="s">
        <v>222</v>
      </c>
      <c r="B17" s="20" t="s">
        <v>346</v>
      </c>
      <c r="C17" s="20" t="s">
        <v>347</v>
      </c>
    </row>
    <row r="18" spans="1:3" ht="25.5" customHeight="1" x14ac:dyDescent="0.2">
      <c r="A18" s="25" t="s">
        <v>348</v>
      </c>
      <c r="B18" s="25" t="s">
        <v>349</v>
      </c>
      <c r="C18" s="25" t="s">
        <v>350</v>
      </c>
    </row>
    <row r="19" spans="1:3" ht="25.5" customHeight="1" x14ac:dyDescent="0.2">
      <c r="A19" s="20" t="s">
        <v>351</v>
      </c>
      <c r="B19" s="20" t="s">
        <v>352</v>
      </c>
      <c r="C19" s="20" t="s">
        <v>353</v>
      </c>
    </row>
    <row r="20" spans="1:3" ht="15" customHeight="1" x14ac:dyDescent="0.2">
      <c r="A20" s="20" t="s">
        <v>169</v>
      </c>
      <c r="B20" s="20" t="s">
        <v>354</v>
      </c>
      <c r="C20" s="20" t="s">
        <v>355</v>
      </c>
    </row>
    <row r="21" spans="1:3" ht="15" customHeight="1" x14ac:dyDescent="0.2">
      <c r="A21" s="20" t="s">
        <v>356</v>
      </c>
      <c r="B21" s="20" t="s">
        <v>357</v>
      </c>
      <c r="C21" s="20" t="s">
        <v>358</v>
      </c>
    </row>
    <row r="22" spans="1:3" ht="15" customHeight="1" x14ac:dyDescent="0.2">
      <c r="A22" s="20" t="s">
        <v>359</v>
      </c>
      <c r="B22" s="20" t="s">
        <v>360</v>
      </c>
      <c r="C22" s="20" t="s">
        <v>361</v>
      </c>
    </row>
    <row r="23" spans="1:3" ht="15" customHeight="1" x14ac:dyDescent="0.2">
      <c r="A23" s="20" t="s">
        <v>362</v>
      </c>
      <c r="B23" s="20" t="s">
        <v>363</v>
      </c>
      <c r="C23" s="20" t="s">
        <v>364</v>
      </c>
    </row>
    <row r="24" spans="1:3" ht="15" customHeight="1" x14ac:dyDescent="0.2">
      <c r="A24" s="20" t="s">
        <v>365</v>
      </c>
      <c r="B24" s="20" t="s">
        <v>366</v>
      </c>
      <c r="C24" s="20" t="s">
        <v>367</v>
      </c>
    </row>
    <row r="25" spans="1:3" ht="15" customHeight="1" x14ac:dyDescent="0.2">
      <c r="A25" s="20" t="s">
        <v>368</v>
      </c>
      <c r="B25" s="20" t="s">
        <v>369</v>
      </c>
      <c r="C25" s="20" t="s">
        <v>370</v>
      </c>
    </row>
    <row r="26" spans="1:3" ht="15" customHeight="1" x14ac:dyDescent="0.2">
      <c r="A26" s="20" t="s">
        <v>234</v>
      </c>
      <c r="B26" s="20" t="s">
        <v>371</v>
      </c>
      <c r="C26" s="20" t="s">
        <v>372</v>
      </c>
    </row>
    <row r="27" spans="1:3" ht="15" customHeight="1" x14ac:dyDescent="0.2">
      <c r="A27" s="20" t="s">
        <v>77</v>
      </c>
      <c r="B27" s="20" t="s">
        <v>373</v>
      </c>
      <c r="C27" s="20" t="s">
        <v>374</v>
      </c>
    </row>
    <row r="28" spans="1:3" ht="15" customHeight="1" x14ac:dyDescent="0.2">
      <c r="A28" s="20" t="s">
        <v>375</v>
      </c>
      <c r="B28" s="20" t="s">
        <v>376</v>
      </c>
      <c r="C28" s="20" t="s">
        <v>377</v>
      </c>
    </row>
    <row r="29" spans="1:3" ht="15" customHeight="1" x14ac:dyDescent="0.2">
      <c r="A29" s="20" t="s">
        <v>378</v>
      </c>
      <c r="B29" s="20" t="s">
        <v>379</v>
      </c>
      <c r="C29" s="20" t="s">
        <v>380</v>
      </c>
    </row>
    <row r="30" spans="1:3" ht="15" customHeight="1" x14ac:dyDescent="0.2">
      <c r="A30" s="20" t="s">
        <v>381</v>
      </c>
      <c r="B30" s="20" t="s">
        <v>382</v>
      </c>
      <c r="C30" s="20" t="s">
        <v>383</v>
      </c>
    </row>
    <row r="31" spans="1:3" ht="15" customHeight="1" x14ac:dyDescent="0.2">
      <c r="A31" s="20" t="s">
        <v>384</v>
      </c>
      <c r="B31" s="20" t="s">
        <v>349</v>
      </c>
      <c r="C31" s="20" t="s">
        <v>385</v>
      </c>
    </row>
    <row r="32" spans="1:3" ht="15" customHeight="1" x14ac:dyDescent="0.2">
      <c r="A32" s="20" t="s">
        <v>174</v>
      </c>
      <c r="B32" s="20" t="s">
        <v>386</v>
      </c>
      <c r="C32" s="20" t="s">
        <v>387</v>
      </c>
    </row>
    <row r="33" spans="1:3" ht="15" customHeight="1" x14ac:dyDescent="0.2">
      <c r="A33" s="32" t="s">
        <v>388</v>
      </c>
      <c r="B33" s="20" t="s">
        <v>389</v>
      </c>
      <c r="C33" s="20" t="s">
        <v>390</v>
      </c>
    </row>
    <row r="34" spans="1:3" ht="15" customHeight="1" x14ac:dyDescent="0.2">
      <c r="A34" s="32" t="s">
        <v>391</v>
      </c>
      <c r="B34" s="20" t="s">
        <v>392</v>
      </c>
      <c r="C34" s="20" t="s">
        <v>393</v>
      </c>
    </row>
    <row r="35" spans="1:3" ht="15" customHeight="1" x14ac:dyDescent="0.2">
      <c r="A35" s="32" t="s">
        <v>394</v>
      </c>
      <c r="B35" s="20" t="s">
        <v>395</v>
      </c>
      <c r="C35" s="20" t="s">
        <v>396</v>
      </c>
    </row>
    <row r="36" spans="1:3" ht="15" customHeight="1" x14ac:dyDescent="0.2">
      <c r="A36" s="32" t="s">
        <v>356</v>
      </c>
      <c r="B36" s="20" t="s">
        <v>397</v>
      </c>
      <c r="C36" s="20" t="s">
        <v>398</v>
      </c>
    </row>
    <row r="37" spans="1:3" ht="15" customHeight="1" x14ac:dyDescent="0.2">
      <c r="A37" s="32" t="s">
        <v>399</v>
      </c>
      <c r="B37" s="20" t="s">
        <v>400</v>
      </c>
      <c r="C37" s="20" t="s">
        <v>401</v>
      </c>
    </row>
    <row r="38" spans="1:3" ht="15" customHeight="1" x14ac:dyDescent="0.2">
      <c r="A38" s="20" t="s">
        <v>402</v>
      </c>
      <c r="B38" s="20" t="s">
        <v>352</v>
      </c>
      <c r="C38" s="20" t="s">
        <v>403</v>
      </c>
    </row>
    <row r="39" spans="1:3" ht="15" customHeight="1" x14ac:dyDescent="0.2">
      <c r="A39" s="32" t="s">
        <v>404</v>
      </c>
      <c r="B39" s="20" t="s">
        <v>405</v>
      </c>
      <c r="C39" s="20" t="s">
        <v>406</v>
      </c>
    </row>
  </sheetData>
  <autoFilter ref="A3:C39" xr:uid="{00000000-0009-0000-0000-000005000000}"/>
  <mergeCells count="2">
    <mergeCell ref="A1:C1"/>
    <mergeCell ref="A2:C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showGridLines="0" tabSelected="1" zoomScaleNormal="100" workbookViewId="0">
      <pane ySplit="3" topLeftCell="A4" activePane="bottomLeft" state="frozen"/>
      <selection pane="bottomLeft" sqref="A1:C1"/>
    </sheetView>
  </sheetViews>
  <sheetFormatPr baseColWidth="10" defaultColWidth="8.6640625" defaultRowHeight="15" x14ac:dyDescent="0.2"/>
  <cols>
    <col min="1" max="1" width="40" customWidth="1"/>
    <col min="2" max="2" width="52" customWidth="1"/>
    <col min="3" max="3" width="30" customWidth="1"/>
  </cols>
  <sheetData>
    <row r="1" spans="1:3" ht="30" customHeight="1" x14ac:dyDescent="0.2">
      <c r="A1" s="2" t="s">
        <v>407</v>
      </c>
      <c r="B1" s="2"/>
      <c r="C1" s="2"/>
    </row>
    <row r="2" spans="1:3" ht="25.5" customHeight="1" x14ac:dyDescent="0.2">
      <c r="A2" s="1" t="s">
        <v>408</v>
      </c>
      <c r="B2" s="1"/>
      <c r="C2" s="1"/>
    </row>
    <row r="3" spans="1:3" ht="42" customHeight="1" x14ac:dyDescent="0.2">
      <c r="A3" s="18" t="s">
        <v>409</v>
      </c>
      <c r="B3" s="18" t="s">
        <v>410</v>
      </c>
      <c r="C3" s="18" t="s">
        <v>411</v>
      </c>
    </row>
    <row r="4" spans="1:3" ht="15" customHeight="1" x14ac:dyDescent="0.2">
      <c r="A4" s="25" t="s">
        <v>412</v>
      </c>
      <c r="B4" s="25" t="s">
        <v>413</v>
      </c>
      <c r="C4" s="25" t="s">
        <v>414</v>
      </c>
    </row>
    <row r="5" spans="1:3" ht="15" customHeight="1" x14ac:dyDescent="0.2">
      <c r="A5" s="20" t="s">
        <v>415</v>
      </c>
      <c r="B5" s="20" t="s">
        <v>416</v>
      </c>
      <c r="C5" s="20" t="s">
        <v>414</v>
      </c>
    </row>
    <row r="6" spans="1:3" ht="15" customHeight="1" x14ac:dyDescent="0.2">
      <c r="A6" s="25" t="s">
        <v>417</v>
      </c>
      <c r="B6" s="25" t="s">
        <v>418</v>
      </c>
      <c r="C6" s="25" t="s">
        <v>414</v>
      </c>
    </row>
    <row r="7" spans="1:3" ht="15" customHeight="1" x14ac:dyDescent="0.2">
      <c r="A7" s="20" t="s">
        <v>419</v>
      </c>
      <c r="B7" s="20" t="s">
        <v>420</v>
      </c>
      <c r="C7" s="20" t="s">
        <v>421</v>
      </c>
    </row>
    <row r="8" spans="1:3" ht="15" customHeight="1" x14ac:dyDescent="0.2">
      <c r="A8" s="25" t="s">
        <v>422</v>
      </c>
      <c r="B8" s="25" t="s">
        <v>423</v>
      </c>
      <c r="C8" s="25" t="s">
        <v>424</v>
      </c>
    </row>
    <row r="9" spans="1:3" ht="15" customHeight="1" x14ac:dyDescent="0.2">
      <c r="A9" s="20" t="s">
        <v>425</v>
      </c>
      <c r="B9" s="20" t="s">
        <v>426</v>
      </c>
      <c r="C9" s="20" t="s">
        <v>424</v>
      </c>
    </row>
    <row r="10" spans="1:3" ht="15" customHeight="1" x14ac:dyDescent="0.2">
      <c r="A10" s="25" t="s">
        <v>427</v>
      </c>
      <c r="B10" s="25" t="s">
        <v>428</v>
      </c>
      <c r="C10" s="25" t="s">
        <v>414</v>
      </c>
    </row>
    <row r="11" spans="1:3" ht="15" customHeight="1" x14ac:dyDescent="0.2">
      <c r="A11" s="20" t="s">
        <v>429</v>
      </c>
      <c r="B11" s="20" t="s">
        <v>430</v>
      </c>
      <c r="C11" s="20" t="s">
        <v>421</v>
      </c>
    </row>
    <row r="12" spans="1:3" ht="15" customHeight="1" x14ac:dyDescent="0.2">
      <c r="A12" s="25" t="s">
        <v>431</v>
      </c>
      <c r="B12" s="25" t="s">
        <v>432</v>
      </c>
      <c r="C12" s="25" t="s">
        <v>433</v>
      </c>
    </row>
    <row r="13" spans="1:3" ht="15" customHeight="1" x14ac:dyDescent="0.2">
      <c r="A13" s="20" t="s">
        <v>434</v>
      </c>
      <c r="B13" s="20" t="s">
        <v>435</v>
      </c>
      <c r="C13" s="20" t="s">
        <v>414</v>
      </c>
    </row>
  </sheetData>
  <autoFilter ref="A3:C13" xr:uid="{00000000-0009-0000-0000-000006000000}"/>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Листы</vt:lpstr>
      </vt:variant>
      <vt:variant>
        <vt:i4>7</vt:i4>
      </vt:variant>
    </vt:vector>
  </HeadingPairs>
  <TitlesOfParts>
    <vt:vector size="7" baseType="lpstr">
      <vt:lpstr>Титул</vt:lpstr>
      <vt:lpstr>НПА</vt:lpstr>
      <vt:lpstr>Проекты и анонсы</vt:lpstr>
      <vt:lpstr>Отраслевые новости</vt:lpstr>
      <vt:lpstr>Методика</vt:lpstr>
      <vt:lpstr>Источники</vt:lpstr>
      <vt:lpstr>Ссылки мониторинга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B2019</cp:lastModifiedBy>
  <cp:revision>0</cp:revision>
  <dcterms:created xsi:type="dcterms:W3CDTF">2026-08-10T17:54:35Z</dcterms:created>
  <dcterms:modified xsi:type="dcterms:W3CDTF">2026-09-02T10:48:56Z</dcterms:modified>
  <dc:language>en-US</dc:language>
</cp:coreProperties>
</file>